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ebauer/Downloads/"/>
    </mc:Choice>
  </mc:AlternateContent>
  <xr:revisionPtr revIDLastSave="0" documentId="13_ncr:1_{27B3E2E0-B09A-7C46-B7E4-3D4FCB5A6419}" xr6:coauthVersionLast="47" xr6:coauthVersionMax="47" xr10:uidLastSave="{00000000-0000-0000-0000-000000000000}"/>
  <bookViews>
    <workbookView xWindow="0" yWindow="720" windowWidth="29400" windowHeight="18400" activeTab="4" xr2:uid="{509147B5-FC27-4443-997D-D2749C78152B}"/>
  </bookViews>
  <sheets>
    <sheet name="Mitarbeiter" sheetId="1" r:id="rId1"/>
    <sheet name="Ausleihen" sheetId="2" r:id="rId2"/>
    <sheet name="Geraete" sheetId="3" r:id="rId3"/>
    <sheet name="GesamtMitDuplikaten" sheetId="12" r:id="rId4"/>
    <sheet name="Gesamt" sheetId="4" r:id="rId5"/>
    <sheet name="Aufgabe D1" sheetId="8" r:id="rId6"/>
    <sheet name="Aufgabe D2" sheetId="11" r:id="rId7"/>
    <sheet name="Aufgabe D3+4" sheetId="13" r:id="rId8"/>
  </sheets>
  <definedNames>
    <definedName name="_xlnm._FilterDatabase" localSheetId="6" hidden="1">'Aufgabe D2'!$A$1:$L$24</definedName>
    <definedName name="_xlnm._FilterDatabase" localSheetId="1" hidden="1">Ausleihen!$A$1:$D$46</definedName>
    <definedName name="_xlnm._FilterDatabase" localSheetId="4" hidden="1">Gesamt!$A$1:$L$24</definedName>
    <definedName name="_xlnm._FilterDatabase" localSheetId="3" hidden="1">GesamtMitDuplikaten!$A$1:$L$46</definedName>
    <definedName name="Ausleihen" localSheetId="1">Ausleihen!$A$1:$D$47</definedName>
    <definedName name="Ausleihen" localSheetId="4">Gesamt!$A$1:$D$47</definedName>
    <definedName name="Ausleihen" localSheetId="3">GesamtMitDuplikaten!$A$1:$D$47</definedName>
    <definedName name="Geraete" localSheetId="2">Geraete!$A$1:$F$37</definedName>
    <definedName name="Mitarbeiter" localSheetId="0">Mitarbeiter!$A$1:$D$13</definedName>
  </definedNames>
  <calcPr calcId="181029"/>
  <pivotCaches>
    <pivotCache cacheId="15" r:id="rId9"/>
    <pivotCache cacheId="25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2" l="1" a="1"/>
  <c r="J3" i="12" s="1"/>
  <c r="J4" i="12" a="1"/>
  <c r="J4" i="12" s="1"/>
  <c r="J5" i="12" a="1"/>
  <c r="J5" i="12" s="1"/>
  <c r="J6" i="12" a="1"/>
  <c r="J6" i="12" s="1"/>
  <c r="J7" i="12" a="1"/>
  <c r="J7" i="12" s="1"/>
  <c r="J8" i="12" a="1"/>
  <c r="J8" i="12" s="1"/>
  <c r="J9" i="12" a="1"/>
  <c r="J9" i="12" s="1"/>
  <c r="J10" i="12" a="1"/>
  <c r="J10" i="12" s="1"/>
  <c r="J11" i="12" a="1"/>
  <c r="J11" i="12" s="1"/>
  <c r="J12" i="12" a="1"/>
  <c r="J12" i="12" s="1"/>
  <c r="J13" i="12" a="1"/>
  <c r="J13" i="12" s="1"/>
  <c r="J14" i="12" a="1"/>
  <c r="J14" i="12" s="1"/>
  <c r="J15" i="12" a="1"/>
  <c r="J15" i="12" s="1"/>
  <c r="J16" i="12" a="1"/>
  <c r="J16" i="12" s="1"/>
  <c r="J17" i="12" a="1"/>
  <c r="J17" i="12" s="1"/>
  <c r="J18" i="12" a="1"/>
  <c r="J18" i="12" s="1"/>
  <c r="J19" i="12" a="1"/>
  <c r="J19" i="12" s="1"/>
  <c r="J20" i="12" a="1"/>
  <c r="J20" i="12" s="1"/>
  <c r="J21" i="12" a="1"/>
  <c r="J21" i="12" s="1"/>
  <c r="J22" i="12" a="1"/>
  <c r="J22" i="12" s="1"/>
  <c r="J23" i="12" a="1"/>
  <c r="J23" i="12" s="1"/>
  <c r="J24" i="12" a="1"/>
  <c r="J24" i="12" s="1"/>
  <c r="J25" i="12" a="1"/>
  <c r="J25" i="12" s="1"/>
  <c r="J26" i="12" a="1"/>
  <c r="J26" i="12" s="1"/>
  <c r="J27" i="12" a="1"/>
  <c r="J27" i="12" s="1"/>
  <c r="J28" i="12" a="1"/>
  <c r="J28" i="12" s="1"/>
  <c r="J29" i="12" a="1"/>
  <c r="J29" i="12" s="1"/>
  <c r="J30" i="12" a="1"/>
  <c r="J30" i="12" s="1"/>
  <c r="J31" i="12" a="1"/>
  <c r="J31" i="12" s="1"/>
  <c r="J32" i="12" a="1"/>
  <c r="J32" i="12" s="1"/>
  <c r="J33" i="12" a="1"/>
  <c r="J33" i="12" s="1"/>
  <c r="J34" i="12" a="1"/>
  <c r="J34" i="12" s="1"/>
  <c r="J35" i="12" a="1"/>
  <c r="J35" i="12" s="1"/>
  <c r="J36" i="12" a="1"/>
  <c r="J36" i="12" s="1"/>
  <c r="J37" i="12" a="1"/>
  <c r="J37" i="12" s="1"/>
  <c r="J38" i="12" a="1"/>
  <c r="J38" i="12" s="1"/>
  <c r="J39" i="12" a="1"/>
  <c r="J39" i="12" s="1"/>
  <c r="J40" i="12" a="1"/>
  <c r="J40" i="12" s="1"/>
  <c r="J41" i="12" a="1"/>
  <c r="J41" i="12" s="1"/>
  <c r="J42" i="12" a="1"/>
  <c r="J42" i="12" s="1"/>
  <c r="J43" i="12" a="1"/>
  <c r="J43" i="12" s="1"/>
  <c r="J44" i="12" a="1"/>
  <c r="J44" i="12" s="1"/>
  <c r="J45" i="12" a="1"/>
  <c r="J45" i="12" s="1"/>
  <c r="J46" i="12" a="1"/>
  <c r="J46" i="12" s="1"/>
  <c r="J2" i="12" a="1"/>
  <c r="J2" i="12" s="1"/>
  <c r="E3" i="12" a="1"/>
  <c r="E3" i="12" s="1"/>
  <c r="E4" i="12" a="1"/>
  <c r="E4" i="12" s="1"/>
  <c r="E5" i="12" a="1"/>
  <c r="E5" i="12" s="1"/>
  <c r="E6" i="12" a="1"/>
  <c r="E6" i="12" s="1"/>
  <c r="E7" i="12" a="1"/>
  <c r="E7" i="12" s="1"/>
  <c r="E8" i="12" a="1"/>
  <c r="E8" i="12" s="1"/>
  <c r="E9" i="12" a="1"/>
  <c r="E9" i="12" s="1"/>
  <c r="E10" i="12" a="1"/>
  <c r="E10" i="12" s="1"/>
  <c r="E11" i="12" a="1"/>
  <c r="E11" i="12" s="1"/>
  <c r="E12" i="12" a="1"/>
  <c r="E12" i="12" s="1"/>
  <c r="E13" i="12" a="1"/>
  <c r="E13" i="12" s="1"/>
  <c r="E14" i="12" a="1"/>
  <c r="E14" i="12" s="1"/>
  <c r="E15" i="12" a="1"/>
  <c r="E15" i="12" s="1"/>
  <c r="E16" i="12" a="1"/>
  <c r="E16" i="12" s="1"/>
  <c r="E17" i="12" a="1"/>
  <c r="E17" i="12" s="1"/>
  <c r="E18" i="12" a="1"/>
  <c r="E18" i="12" s="1"/>
  <c r="E19" i="12" a="1"/>
  <c r="E19" i="12" s="1"/>
  <c r="E20" i="12" a="1"/>
  <c r="E20" i="12" s="1"/>
  <c r="E21" i="12" a="1"/>
  <c r="E21" i="12" s="1"/>
  <c r="E22" i="12" a="1"/>
  <c r="E22" i="12" s="1"/>
  <c r="E23" i="12" a="1"/>
  <c r="E23" i="12" s="1"/>
  <c r="E24" i="12" a="1"/>
  <c r="E24" i="12" s="1"/>
  <c r="E25" i="12" a="1"/>
  <c r="E25" i="12" s="1"/>
  <c r="E26" i="12" a="1"/>
  <c r="E26" i="12" s="1"/>
  <c r="E27" i="12" a="1"/>
  <c r="E27" i="12" s="1"/>
  <c r="E28" i="12" a="1"/>
  <c r="E28" i="12" s="1"/>
  <c r="E29" i="12" a="1"/>
  <c r="E29" i="12" s="1"/>
  <c r="E30" i="12" a="1"/>
  <c r="E30" i="12" s="1"/>
  <c r="E31" i="12" a="1"/>
  <c r="E31" i="12" s="1"/>
  <c r="E32" i="12" a="1"/>
  <c r="E32" i="12" s="1"/>
  <c r="E33" i="12" a="1"/>
  <c r="E33" i="12" s="1"/>
  <c r="E34" i="12" a="1"/>
  <c r="E34" i="12" s="1"/>
  <c r="E35" i="12" a="1"/>
  <c r="E35" i="12" s="1"/>
  <c r="E36" i="12" a="1"/>
  <c r="E36" i="12" s="1"/>
  <c r="E37" i="12" a="1"/>
  <c r="E37" i="12" s="1"/>
  <c r="E38" i="12" a="1"/>
  <c r="E38" i="12" s="1"/>
  <c r="E39" i="12" a="1"/>
  <c r="E39" i="12" s="1"/>
  <c r="E40" i="12" a="1"/>
  <c r="E40" i="12" s="1"/>
  <c r="E41" i="12" a="1"/>
  <c r="E41" i="12" s="1"/>
  <c r="E42" i="12" a="1"/>
  <c r="E42" i="12" s="1"/>
  <c r="E43" i="12" a="1"/>
  <c r="E43" i="12" s="1"/>
  <c r="E44" i="12" a="1"/>
  <c r="E44" i="12" s="1"/>
  <c r="E45" i="12" a="1"/>
  <c r="E45" i="12" s="1"/>
  <c r="E46" i="12" a="1"/>
  <c r="E46" i="12" s="1"/>
  <c r="E2" i="12" a="1"/>
  <c r="E2" i="12" s="1"/>
  <c r="J24" i="11" a="1"/>
  <c r="J24" i="11" s="1"/>
  <c r="E24" i="11" a="1"/>
  <c r="E24" i="11" s="1"/>
  <c r="J23" i="11" a="1"/>
  <c r="J23" i="11" s="1"/>
  <c r="E23" i="11" a="1"/>
  <c r="E23" i="11" s="1"/>
  <c r="J22" i="11" a="1"/>
  <c r="J22" i="11" s="1"/>
  <c r="E22" i="11" a="1"/>
  <c r="E22" i="11" s="1"/>
  <c r="J21" i="11"/>
  <c r="J21" i="11" a="1"/>
  <c r="E21" i="11" a="1"/>
  <c r="E21" i="11" s="1"/>
  <c r="J20" i="11" a="1"/>
  <c r="J20" i="11" s="1"/>
  <c r="E20" i="11" a="1"/>
  <c r="E20" i="11" s="1"/>
  <c r="J19" i="11" a="1"/>
  <c r="J19" i="11" s="1"/>
  <c r="E19" i="11" a="1"/>
  <c r="E19" i="11" s="1"/>
  <c r="J18" i="11" a="1"/>
  <c r="J18" i="11" s="1"/>
  <c r="E18" i="11" a="1"/>
  <c r="E18" i="11" s="1"/>
  <c r="J17" i="11" a="1"/>
  <c r="J17" i="11" s="1"/>
  <c r="E17" i="11" a="1"/>
  <c r="E17" i="11" s="1"/>
  <c r="J16" i="11" a="1"/>
  <c r="J16" i="11" s="1"/>
  <c r="E16" i="11" a="1"/>
  <c r="E16" i="11" s="1"/>
  <c r="J15" i="11" a="1"/>
  <c r="J15" i="11" s="1"/>
  <c r="E15" i="11" a="1"/>
  <c r="E15" i="11" s="1"/>
  <c r="J14" i="11" a="1"/>
  <c r="J14" i="11" s="1"/>
  <c r="E14" i="11" a="1"/>
  <c r="E14" i="11" s="1"/>
  <c r="J13" i="11" a="1"/>
  <c r="J13" i="11" s="1"/>
  <c r="E13" i="11" a="1"/>
  <c r="E13" i="11" s="1"/>
  <c r="J12" i="11" a="1"/>
  <c r="J12" i="11" s="1"/>
  <c r="E12" i="11" a="1"/>
  <c r="E12" i="11" s="1"/>
  <c r="J11" i="11" a="1"/>
  <c r="J11" i="11" s="1"/>
  <c r="E11" i="11"/>
  <c r="E11" i="11" a="1"/>
  <c r="J10" i="11" a="1"/>
  <c r="J10" i="11" s="1"/>
  <c r="E10" i="11" a="1"/>
  <c r="E10" i="11" s="1"/>
  <c r="J9" i="11" a="1"/>
  <c r="J9" i="11" s="1"/>
  <c r="E9" i="11" a="1"/>
  <c r="E9" i="11" s="1"/>
  <c r="J8" i="11" a="1"/>
  <c r="J8" i="11" s="1"/>
  <c r="E8" i="11" a="1"/>
  <c r="E8" i="11" s="1"/>
  <c r="J7" i="11" a="1"/>
  <c r="J7" i="11" s="1"/>
  <c r="E7" i="11" a="1"/>
  <c r="E7" i="11" s="1"/>
  <c r="J6" i="11" a="1"/>
  <c r="J6" i="11" s="1"/>
  <c r="E6" i="11" a="1"/>
  <c r="E6" i="11" s="1"/>
  <c r="J5" i="11" a="1"/>
  <c r="J5" i="11" s="1"/>
  <c r="E5" i="11" a="1"/>
  <c r="E5" i="11" s="1"/>
  <c r="J4" i="11" a="1"/>
  <c r="J4" i="11" s="1"/>
  <c r="E4" i="11" a="1"/>
  <c r="E4" i="11" s="1"/>
  <c r="J3" i="11" a="1"/>
  <c r="J3" i="11" s="1"/>
  <c r="E3" i="11" a="1"/>
  <c r="E3" i="11" s="1"/>
  <c r="J2" i="11" a="1"/>
  <c r="J2" i="11" s="1"/>
  <c r="E2" i="11" a="1"/>
  <c r="E2" i="11" s="1"/>
  <c r="J3" i="4" a="1"/>
  <c r="J3" i="4" s="1"/>
  <c r="J4" i="4" a="1"/>
  <c r="J4" i="4" s="1"/>
  <c r="J5" i="4" a="1"/>
  <c r="J5" i="4" s="1"/>
  <c r="J6" i="4" a="1"/>
  <c r="J6" i="4" s="1"/>
  <c r="J7" i="4" a="1"/>
  <c r="J7" i="4" s="1"/>
  <c r="J8" i="4" a="1"/>
  <c r="J8" i="4" s="1"/>
  <c r="J9" i="4" a="1"/>
  <c r="J9" i="4" s="1"/>
  <c r="J10" i="4" a="1"/>
  <c r="J10" i="4" s="1"/>
  <c r="J11" i="4" a="1"/>
  <c r="J11" i="4" s="1"/>
  <c r="J12" i="4" a="1"/>
  <c r="J12" i="4" s="1"/>
  <c r="J13" i="4" a="1"/>
  <c r="J13" i="4" s="1"/>
  <c r="J14" i="4" a="1"/>
  <c r="J14" i="4" s="1"/>
  <c r="J15" i="4" a="1"/>
  <c r="J15" i="4" s="1"/>
  <c r="J16" i="4" a="1"/>
  <c r="J16" i="4" s="1"/>
  <c r="J17" i="4" a="1"/>
  <c r="J17" i="4" s="1"/>
  <c r="J18" i="4" a="1"/>
  <c r="J18" i="4" s="1"/>
  <c r="J19" i="4" a="1"/>
  <c r="J19" i="4" s="1"/>
  <c r="J20" i="4" a="1"/>
  <c r="J20" i="4" s="1"/>
  <c r="J21" i="4" a="1"/>
  <c r="J21" i="4" s="1"/>
  <c r="J22" i="4" a="1"/>
  <c r="J22" i="4" s="1"/>
  <c r="J23" i="4" a="1"/>
  <c r="J23" i="4" s="1"/>
  <c r="J24" i="4" a="1"/>
  <c r="J24" i="4" s="1"/>
  <c r="J2" i="4" a="1"/>
  <c r="J2" i="4" s="1"/>
  <c r="E3" i="4" a="1"/>
  <c r="E3" i="4" s="1"/>
  <c r="E4" i="4" a="1"/>
  <c r="E4" i="4" s="1"/>
  <c r="E5" i="4" a="1"/>
  <c r="E5" i="4" s="1"/>
  <c r="E6" i="4" a="1"/>
  <c r="E6" i="4" s="1"/>
  <c r="E7" i="4" a="1"/>
  <c r="E7" i="4" s="1"/>
  <c r="E8" i="4" a="1"/>
  <c r="E8" i="4" s="1"/>
  <c r="E9" i="4" a="1"/>
  <c r="E9" i="4" s="1"/>
  <c r="E10" i="4" a="1"/>
  <c r="E10" i="4" s="1"/>
  <c r="E11" i="4" a="1"/>
  <c r="E11" i="4" s="1"/>
  <c r="E12" i="4" a="1"/>
  <c r="E12" i="4" s="1"/>
  <c r="E13" i="4" a="1"/>
  <c r="E13" i="4" s="1"/>
  <c r="E14" i="4" a="1"/>
  <c r="E14" i="4" s="1"/>
  <c r="E15" i="4" a="1"/>
  <c r="E15" i="4" s="1"/>
  <c r="E16" i="4" a="1"/>
  <c r="E16" i="4" s="1"/>
  <c r="E17" i="4" a="1"/>
  <c r="E17" i="4" s="1"/>
  <c r="E18" i="4" a="1"/>
  <c r="E18" i="4" s="1"/>
  <c r="E19" i="4" a="1"/>
  <c r="E19" i="4" s="1"/>
  <c r="E20" i="4" a="1"/>
  <c r="E20" i="4" s="1"/>
  <c r="E21" i="4" a="1"/>
  <c r="E21" i="4" s="1"/>
  <c r="E22" i="4" a="1"/>
  <c r="E22" i="4" s="1"/>
  <c r="E23" i="4" a="1"/>
  <c r="E23" i="4" s="1"/>
  <c r="E24" i="4" a="1"/>
  <c r="E24" i="4" s="1"/>
  <c r="E2" i="4" a="1"/>
  <c r="E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CBBBA5-287E-3948-BEFB-A3313C9F7FB9}" name="Ausleihen" type="6" refreshedVersion="8" background="1" saveData="1">
    <textPr codePage="10000" sourceFile="/Users/simonebauer/Downloads/Ausleihen.csv" decimal="," thousands="." semicolon="1">
      <textFields count="4">
        <textField/>
        <textField/>
        <textField type="DMY"/>
        <textField type="DMY"/>
      </textFields>
    </textPr>
  </connection>
  <connection id="2" xr16:uid="{536FD2B0-B857-7D42-8309-4D40BE9234AC}" name="Ausleihen1" type="6" refreshedVersion="8" background="1" saveData="1">
    <textPr codePage="10000" sourceFile="/Users/simonebauer/Downloads/Ausleihen.csv" decimal="," thousands="." semicolon="1">
      <textFields count="4">
        <textField/>
        <textField/>
        <textField type="DMY"/>
        <textField type="DMY"/>
      </textFields>
    </textPr>
  </connection>
  <connection id="3" xr16:uid="{81DAD471-2140-FF4E-BB5B-CE69ACC0F6DA}" name="Ausleihen2" type="6" refreshedVersion="8" background="1" saveData="1">
    <textPr codePage="10000" sourceFile="/Users/simonebauer/Downloads/Ausleihen.csv" decimal="," thousands="." semicolon="1">
      <textFields count="4">
        <textField/>
        <textField/>
        <textField type="DMY"/>
        <textField type="DMY"/>
      </textFields>
    </textPr>
  </connection>
  <connection id="4" xr16:uid="{075AB519-626E-0244-AEC5-BDA65EB6F4D7}" name="Geraete" type="6" refreshedVersion="8" background="1" saveData="1">
    <textPr codePage="10000" sourceFile="/Users/simonebauer/Downloads/Geraete.csv" decimal="," thousands="." tab="0" semicolon="1">
      <textFields count="6">
        <textField type="text"/>
        <textField type="text"/>
        <textField type="text"/>
        <textField type="DMY"/>
        <textField/>
        <textField/>
      </textFields>
    </textPr>
  </connection>
  <connection id="5" xr16:uid="{9FA76B39-AF6D-DF43-8EF4-8019E93F894D}" name="Mitarbeiter" type="6" refreshedVersion="8" background="1" saveData="1">
    <textPr codePage="10000" sourceFile="/Users/simonebauer/Downloads/Mitarbeiter.csv" decimal="," thousands="." semicolon="1">
      <textFields count="4">
        <textField type="DMY"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<sst xmlns="http://schemas.openxmlformats.org/spreadsheetml/2006/main" count="401" uniqueCount="93">
  <si>
    <t>Mitarbeiter-ID</t>
  </si>
  <si>
    <t>Name</t>
  </si>
  <si>
    <t>Abteilung</t>
  </si>
  <si>
    <t>Standort</t>
  </si>
  <si>
    <t>Aleksandr Weinhage</t>
  </si>
  <si>
    <t>IT</t>
  </si>
  <si>
    <t>Berlin</t>
  </si>
  <si>
    <t>Eleni Hauffer</t>
  </si>
  <si>
    <t>Paul Dobes-Stiffel</t>
  </si>
  <si>
    <t>Produktion</t>
  </si>
  <si>
    <t>Hamburg</t>
  </si>
  <si>
    <t>Vertrieb</t>
  </si>
  <si>
    <t>Alexandre Davids</t>
  </si>
  <si>
    <t>Eric Patberg B.Sc.</t>
  </si>
  <si>
    <t>Orhan Siering MBA.</t>
  </si>
  <si>
    <t>Dipl.-Ing. Klaus-Werner Holsten B.Sc.</t>
  </si>
  <si>
    <t>Univ.Prof. Heimo Karge</t>
  </si>
  <si>
    <t>Marketing</t>
  </si>
  <si>
    <t>Carolin Hande</t>
  </si>
  <si>
    <t>Auguste Davids</t>
  </si>
  <si>
    <t>Ariane Klemt-Kaul</t>
  </si>
  <si>
    <t>Ausgabe am</t>
  </si>
  <si>
    <t>G0035</t>
  </si>
  <si>
    <t>G0021</t>
  </si>
  <si>
    <t>G0024</t>
  </si>
  <si>
    <t>G0016</t>
  </si>
  <si>
    <t>G0006</t>
  </si>
  <si>
    <t>G0005</t>
  </si>
  <si>
    <t>G0009</t>
  </si>
  <si>
    <t>G0011</t>
  </si>
  <si>
    <t>G0028</t>
  </si>
  <si>
    <t>G0013</t>
  </si>
  <si>
    <t>G0029</t>
  </si>
  <si>
    <t>G0015</t>
  </si>
  <si>
    <t>G0022</t>
  </si>
  <si>
    <t>G0018</t>
  </si>
  <si>
    <t>G0031</t>
  </si>
  <si>
    <t>G0027</t>
  </si>
  <si>
    <t>G0030</t>
  </si>
  <si>
    <t>G0007</t>
  </si>
  <si>
    <t>G0004</t>
  </si>
  <si>
    <t>G0025</t>
  </si>
  <si>
    <t>G0032</t>
  </si>
  <si>
    <t>G0014</t>
  </si>
  <si>
    <t>G0033</t>
  </si>
  <si>
    <t>Modell</t>
  </si>
  <si>
    <t>Kaufdatum</t>
  </si>
  <si>
    <t>Netto-Kaufpreis</t>
  </si>
  <si>
    <t>G0001</t>
  </si>
  <si>
    <t>Tablet</t>
  </si>
  <si>
    <t>Galaxy Tab</t>
  </si>
  <si>
    <t>G0002</t>
  </si>
  <si>
    <t>Surface Go</t>
  </si>
  <si>
    <t>G0003</t>
  </si>
  <si>
    <t>iPad</t>
  </si>
  <si>
    <t>Laptop</t>
  </si>
  <si>
    <t>Dell XPS</t>
  </si>
  <si>
    <t>Drucker</t>
  </si>
  <si>
    <t>Canon Pixma</t>
  </si>
  <si>
    <t>Smartphone</t>
  </si>
  <si>
    <t>Samsung S21</t>
  </si>
  <si>
    <t>Lenovo ThinkPad</t>
  </si>
  <si>
    <t>G0008</t>
  </si>
  <si>
    <t>Beamer</t>
  </si>
  <si>
    <t>Epson EB</t>
  </si>
  <si>
    <t>G0010</t>
  </si>
  <si>
    <t>Brother HL</t>
  </si>
  <si>
    <t>G0012</t>
  </si>
  <si>
    <t>iPhone 13</t>
  </si>
  <si>
    <t>G0017</t>
  </si>
  <si>
    <t>G0019</t>
  </si>
  <si>
    <t>HP LaserJet</t>
  </si>
  <si>
    <t>G0020</t>
  </si>
  <si>
    <t>Monitor</t>
  </si>
  <si>
    <t>Samsung Curved</t>
  </si>
  <si>
    <t>G0023</t>
  </si>
  <si>
    <t>Dell UltraSharp</t>
  </si>
  <si>
    <t>G0026</t>
  </si>
  <si>
    <t>HP EliteBook</t>
  </si>
  <si>
    <t>BenQ MW550</t>
  </si>
  <si>
    <t>G0034</t>
  </si>
  <si>
    <t>Klemens Löffler</t>
  </si>
  <si>
    <t>München</t>
  </si>
  <si>
    <t>Gerätenummer</t>
  </si>
  <si>
    <t>Rückgabe am</t>
  </si>
  <si>
    <t>Gerätetyp</t>
  </si>
  <si>
    <t>Mitarbeitername</t>
  </si>
  <si>
    <t>Row Labels</t>
  </si>
  <si>
    <t>Grand Total</t>
  </si>
  <si>
    <t>Sum of Netto-Kaufpreis</t>
  </si>
  <si>
    <t>(Multiple Items)</t>
  </si>
  <si>
    <t>Anzahl Ausleihen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</si>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</sst>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Font="1"/>
    <xf numFmtId="1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[Praxisnachbereitung.xlsx]Aufgabe D3+4!PivotTable5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Anzahl der Ausleihen pro Gerätetyp</a:t>
            </a:r>
          </a:p>
        </c:rich>
      </c:tx>
      <c:layout>
        <c:manualLayout>
          <c:xMode val="edge"/>
          <c:yMode val="edge"/>
          <c:x val="0.2578658702144990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'Aufgabe D3+4'!$B$3:$B$4</c:f>
              <c:strCache>
                <c:ptCount val="1"/>
                <c:pt idx="0">
                  <c:v>Berlin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'Aufgabe D3+4'!$A$5:$A$11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'Aufgabe D3+4'!$B$5:$B$11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39-9F4E-B7EF-A694BF7A968E}"/>
            </c:ext>
          </c:extLst>
        </c:ser>
        <c:ser>
          <c:idx val="1"/>
          <c:order val="1"/>
          <c:tx>
            <c:strRef>
              <c:f>'Aufgabe D3+4'!$C$3:$C$4</c:f>
              <c:strCache>
                <c:ptCount val="1"/>
                <c:pt idx="0">
                  <c:v>Hamburg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'Aufgabe D3+4'!$A$5:$A$11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'Aufgabe D3+4'!$C$5:$C$11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39-9F4E-B7EF-A694BF7A968E}"/>
            </c:ext>
          </c:extLst>
        </c:ser>
        <c:ser>
          <c:idx val="2"/>
          <c:order val="2"/>
          <c:tx>
            <c:strRef>
              <c:f>'Aufgabe D3+4'!$D$3:$D$4</c:f>
              <c:strCache>
                <c:ptCount val="1"/>
                <c:pt idx="0">
                  <c:v>München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'Aufgabe D3+4'!$A$5:$A$11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'Aufgabe D3+4'!$D$5:$D$11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39-9F4E-B7EF-A694BF7A9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979975984"/>
        <c:axId val="251182975"/>
      </c:barChart>
      <c:catAx>
        <c:axId val="197997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51182975"/>
        <c:crosses val="autoZero"/>
        <c:auto val="1"/>
        <c:lblAlgn val="ctr"/>
        <c:lblOffset val="100"/>
        <c:noMultiLvlLbl val="0"/>
      </c:catAx>
      <c:valAx>
        <c:axId val="25118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7997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761999</xdr:colOff>
      <xdr:row>2</xdr:row>
      <xdr:rowOff>6350</xdr:rowOff>
    </xdr:from>
    <xdr:to>
      <xdr:col>12</xdr:col>
      <xdr:colOff>799224</xdr:colOff>
      <xdr:row>15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7E96F5-6005-3FCC-12C8-17406DD5F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e Bauer" refreshedDate="46102.618159143516" createdVersion="8" refreshedVersion="8" minRefreshableVersion="3" recordCount="45" xr:uid="{86577F72-0D14-4C4F-AD28-53324AFEB618}">
  <cacheSource type="worksheet">
    <worksheetSource ref="A1:L46" sheet="Gesamt"/>
  </cacheSource>
  <cacheFields count="15">
    <cacheField name="Gerätenummer" numFmtId="0">
      <sharedItems count="23">
        <s v="G0004"/>
        <s v="G0005"/>
        <s v="G0006"/>
        <s v="G0007"/>
        <s v="G0009"/>
        <s v="G0011"/>
        <s v="G0013"/>
        <s v="G0014"/>
        <s v="G0015"/>
        <s v="G0016"/>
        <s v="G0018"/>
        <s v="G0021"/>
        <s v="G0022"/>
        <s v="G0024"/>
        <s v="G0025"/>
        <s v="G0027"/>
        <s v="G0028"/>
        <s v="G0029"/>
        <s v="G0030"/>
        <s v="G0031"/>
        <s v="G0032"/>
        <s v="G0033"/>
        <s v="G0035"/>
      </sharedItems>
    </cacheField>
    <cacheField name="Mitarbeiter-ID" numFmtId="1">
      <sharedItems containsSemiMixedTypes="0" containsString="0" containsNumber="1" containsInteger="1" minValue="1001" maxValue="1012"/>
    </cacheField>
    <cacheField name="Ausgabe am" numFmtId="14">
      <sharedItems containsSemiMixedTypes="0" containsNonDate="0" containsDate="1" containsString="0" minDate="2023-12-01T00:00:00" maxDate="2025-10-01T00:00:00"/>
    </cacheField>
    <cacheField name="Rückgabe am" numFmtId="0">
      <sharedItems containsNonDate="0" containsDate="1" containsString="0" containsBlank="1" minDate="2024-06-27T00:00:00" maxDate="2025-10-06T00:00:00" count="30">
        <d v="2025-09-08T00:00:00"/>
        <d v="2025-08-12T00:00:00"/>
        <m/>
        <d v="2025-09-22T00:00:00"/>
        <d v="2025-09-25T00:00:00"/>
        <d v="2025-06-10T00:00:00"/>
        <d v="2025-07-16T00:00:00"/>
        <d v="2025-07-15T00:00:00"/>
        <d v="2025-08-29T00:00:00"/>
        <d v="2024-06-27T00:00:00"/>
        <d v="2025-02-26T00:00:00"/>
        <d v="2025-03-03T00:00:00"/>
        <d v="2025-08-17T00:00:00"/>
        <d v="2025-05-31T00:00:00"/>
        <d v="2025-06-09T00:00:00"/>
        <d v="2025-07-08T00:00:00"/>
        <d v="2025-10-02T00:00:00"/>
        <d v="2024-11-27T00:00:00"/>
        <d v="2025-10-05T00:00:00"/>
        <d v="2025-09-30T00:00:00"/>
        <d v="2025-01-06T00:00:00"/>
        <d v="2025-07-30T00:00:00"/>
        <d v="2025-07-01T00:00:00"/>
        <d v="2025-03-16T00:00:00"/>
        <d v="2024-12-04T00:00:00"/>
        <d v="2025-10-04T00:00:00"/>
        <d v="2025-09-05T00:00:00"/>
        <d v="2024-09-24T00:00:00"/>
        <d v="2025-08-02T00:00:00"/>
        <d v="2025-05-07T00:00:00"/>
      </sharedItems>
      <fieldGroup par="14"/>
    </cacheField>
    <cacheField name="Gerätetyp" numFmtId="0">
      <sharedItems/>
    </cacheField>
    <cacheField name="Modell" numFmtId="0">
      <sharedItems/>
    </cacheField>
    <cacheField name="Kaufdatum" numFmtId="14">
      <sharedItems containsSemiMixedTypes="0" containsNonDate="0" containsDate="1" containsString="0" minDate="2021-03-03T00:00:00" maxDate="2025-09-10T00:00:00"/>
    </cacheField>
    <cacheField name="Netto-Kaufpreis" numFmtId="2">
      <sharedItems containsSemiMixedTypes="0" containsString="0" containsNumber="1" minValue="501.64" maxValue="1898.65"/>
    </cacheField>
    <cacheField name="Standort" numFmtId="0">
      <sharedItems/>
    </cacheField>
    <cacheField name="Mitarbeitername" numFmtId="0">
      <sharedItems/>
    </cacheField>
    <cacheField name="Abteilung" numFmtId="0">
      <sharedItems/>
    </cacheField>
    <cacheField name="Standort2" numFmtId="0">
      <sharedItems/>
    </cacheField>
    <cacheField name="Months (Rückgabe am)" numFmtId="0" databaseField="0">
      <fieldGroup base="3">
        <rangePr groupBy="months" startDate="2024-06-27T00:00:00" endDate="2025-10-06T00:00:00"/>
        <groupItems count="14">
          <s v="&lt;27.06.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.10.25"/>
        </groupItems>
      </fieldGroup>
    </cacheField>
    <cacheField name="Quarters (Rückgabe am)" numFmtId="0" databaseField="0">
      <fieldGroup base="3">
        <rangePr groupBy="quarters" startDate="2024-06-27T00:00:00" endDate="2025-10-06T00:00:00"/>
        <groupItems count="6">
          <s v="&lt;27.06.24"/>
          <s v="Qtr1"/>
          <s v="Qtr2"/>
          <s v="Qtr3"/>
          <s v="Qtr4"/>
          <s v="&gt;06.10.25"/>
        </groupItems>
      </fieldGroup>
    </cacheField>
    <cacheField name="Years (Rückgabe am)" numFmtId="0" databaseField="0">
      <fieldGroup base="3">
        <rangePr groupBy="years" startDate="2024-06-27T00:00:00" endDate="2025-10-06T00:00:00"/>
        <groupItems count="4">
          <s v="&lt;27.06.24"/>
          <s v="2024"/>
          <s v="2025"/>
          <s v="&gt;06.10.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e Bauer" refreshedDate="46102.628029976855" createdVersion="8" refreshedVersion="8" minRefreshableVersion="3" recordCount="45" xr:uid="{DD6B6A11-C8BB-EB45-A4EC-9E418A642219}">
  <cacheSource type="worksheet">
    <worksheetSource ref="A1:L46" sheet="GesamtMitDuplikaten"/>
  </cacheSource>
  <cacheFields count="15">
    <cacheField name="Gerätenummer" numFmtId="0">
      <sharedItems/>
    </cacheField>
    <cacheField name="Mitarbeiter-ID" numFmtId="1">
      <sharedItems containsSemiMixedTypes="0" containsString="0" containsNumber="1" containsInteger="1" minValue="1001" maxValue="1012"/>
    </cacheField>
    <cacheField name="Ausgabe am" numFmtId="14">
      <sharedItems containsSemiMixedTypes="0" containsNonDate="0" containsDate="1" containsString="0" minDate="2023-12-01T00:00:00" maxDate="2025-10-01T00:00:00" count="42">
        <d v="2025-06-19T00:00:00"/>
        <d v="2025-08-11T00:00:00"/>
        <d v="2024-04-07T00:00:00"/>
        <d v="2025-08-23T00:00:00"/>
        <d v="2024-11-03T00:00:00"/>
        <d v="2025-08-30T00:00:00"/>
        <d v="2025-05-31T00:00:00"/>
        <d v="2024-07-03T00:00:00"/>
        <d v="2024-09-09T00:00:00"/>
        <d v="2025-07-12T00:00:00"/>
        <d v="2025-06-29T00:00:00"/>
        <d v="2024-05-07T00:00:00"/>
        <d v="2024-01-28T00:00:00"/>
        <d v="2024-11-26T00:00:00"/>
        <d v="2024-03-26T00:00:00"/>
        <d v="2024-08-15T00:00:00"/>
        <d v="2025-07-28T00:00:00"/>
        <d v="2025-05-22T00:00:00"/>
        <d v="2024-02-08T00:00:00"/>
        <d v="2025-05-18T00:00:00"/>
        <d v="2024-10-03T00:00:00"/>
        <d v="2025-09-30T00:00:00"/>
        <d v="2024-07-20T00:00:00"/>
        <d v="2025-03-27T00:00:00"/>
        <d v="2024-03-24T00:00:00"/>
        <d v="2025-01-18T00:00:00"/>
        <d v="2024-04-21T00:00:00"/>
        <d v="2024-08-19T00:00:00"/>
        <d v="2024-12-04T00:00:00"/>
        <d v="2024-10-30T00:00:00"/>
        <d v="2025-09-21T00:00:00"/>
        <d v="2025-05-15T00:00:00"/>
        <d v="2023-12-01T00:00:00"/>
        <d v="2024-01-29T00:00:00"/>
        <d v="2024-02-14T00:00:00"/>
        <d v="2024-08-04T00:00:00"/>
        <d v="2025-03-24T00:00:00"/>
        <d v="2025-03-25T00:00:00"/>
        <d v="2024-05-09T00:00:00"/>
        <d v="2024-05-05T00:00:00"/>
        <d v="2024-01-06T00:00:00"/>
        <d v="2024-12-15T00:00:00"/>
      </sharedItems>
      <fieldGroup par="14"/>
    </cacheField>
    <cacheField name="Rückgabe am" numFmtId="0">
      <sharedItems containsNonDate="0" containsDate="1" containsString="0" containsBlank="1" minDate="2024-06-27T00:00:00" maxDate="2025-10-06T00:00:00"/>
    </cacheField>
    <cacheField name="Gerätetyp" numFmtId="0">
      <sharedItems count="6">
        <s v="Laptop"/>
        <s v="Drucker"/>
        <s v="Smartphone"/>
        <s v="Tablet"/>
        <s v="Monitor"/>
        <s v="Beamer"/>
      </sharedItems>
    </cacheField>
    <cacheField name="Modell" numFmtId="0">
      <sharedItems/>
    </cacheField>
    <cacheField name="Kaufdatum" numFmtId="0">
      <sharedItems containsSemiMixedTypes="0" containsString="0" containsNumber="1" containsInteger="1" minValue="44258" maxValue="45909"/>
    </cacheField>
    <cacheField name="Netto-Kaufpreis" numFmtId="0">
      <sharedItems containsSemiMixedTypes="0" containsString="0" containsNumber="1" minValue="501.64" maxValue="1898.65"/>
    </cacheField>
    <cacheField name="Standort" numFmtId="0">
      <sharedItems count="3">
        <s v="München"/>
        <s v="Berlin"/>
        <s v="Hamburg"/>
      </sharedItems>
    </cacheField>
    <cacheField name="Name" numFmtId="0">
      <sharedItems/>
    </cacheField>
    <cacheField name="Abteilung" numFmtId="0">
      <sharedItems/>
    </cacheField>
    <cacheField name="Standort2" numFmtId="0">
      <sharedItems/>
    </cacheField>
    <cacheField name="Months (Ausgabe am)" numFmtId="0" databaseField="0">
      <fieldGroup base="2">
        <rangePr groupBy="months" startDate="2023-12-01T00:00:00" endDate="2025-10-01T00:00:00"/>
        <groupItems count="14">
          <s v="&lt;01.12.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.10.25"/>
        </groupItems>
      </fieldGroup>
    </cacheField>
    <cacheField name="Quarters (Ausgabe am)" numFmtId="0" databaseField="0">
      <fieldGroup base="2">
        <rangePr groupBy="quarters" startDate="2023-12-01T00:00:00" endDate="2025-10-01T00:00:00"/>
        <groupItems count="6">
          <s v="&lt;01.12.23"/>
          <s v="Qtr1"/>
          <s v="Qtr2"/>
          <s v="Qtr3"/>
          <s v="Qtr4"/>
          <s v="&gt;01.10.25"/>
        </groupItems>
      </fieldGroup>
    </cacheField>
    <cacheField name="Years (Ausgabe am)" numFmtId="0" databaseField="0">
      <fieldGroup base="2">
        <rangePr groupBy="years" startDate="2023-12-01T00:00:00" endDate="2025-10-01T00:00:00"/>
        <groupItems count="5">
          <s v="&lt;01.12.23"/>
          <s v="2023"/>
          <s v="2024"/>
          <s v="2025"/>
          <s v="&gt;01.10.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n v="1003"/>
    <d v="2025-06-19T00:00:00"/>
    <x v="0"/>
    <s v="Laptop"/>
    <s v="Dell XPS"/>
    <d v="2025-05-05T00:00:00"/>
    <n v="1007.88"/>
    <s v="München"/>
    <s v="Paul Dobes-Stiffel"/>
    <s v="Produktion"/>
    <s v="Hamburg"/>
  </r>
  <r>
    <x v="0"/>
    <n v="1001"/>
    <d v="2025-08-11T00:00:00"/>
    <x v="1"/>
    <s v="Laptop"/>
    <s v="Dell XPS"/>
    <d v="2025-05-05T00:00:00"/>
    <n v="1007.88"/>
    <s v="München"/>
    <s v="Aleksandr Weinhage"/>
    <s v="IT"/>
    <s v="Berlin"/>
  </r>
  <r>
    <x v="1"/>
    <n v="1009"/>
    <d v="2024-04-07T00:00:00"/>
    <x v="2"/>
    <s v="Drucker"/>
    <s v="Canon Pixma"/>
    <d v="2021-11-03T00:00:00"/>
    <n v="823.23"/>
    <s v="Berlin"/>
    <s v="Univ.Prof. Heimo Karge"/>
    <s v="Marketing"/>
    <s v="Hamburg"/>
  </r>
  <r>
    <x v="1"/>
    <n v="1006"/>
    <d v="2025-08-23T00:00:00"/>
    <x v="3"/>
    <s v="Drucker"/>
    <s v="Canon Pixma"/>
    <d v="2021-11-03T00:00:00"/>
    <n v="823.23"/>
    <s v="Berlin"/>
    <s v="Eric Patberg B.Sc."/>
    <s v="Vertrieb"/>
    <s v="Hamburg"/>
  </r>
  <r>
    <x v="1"/>
    <n v="1012"/>
    <d v="2024-11-03T00:00:00"/>
    <x v="2"/>
    <s v="Drucker"/>
    <s v="Canon Pixma"/>
    <d v="2021-11-03T00:00:00"/>
    <n v="823.23"/>
    <s v="Berlin"/>
    <s v="Ariane Klemt-Kaul"/>
    <s v="IT"/>
    <s v="München"/>
  </r>
  <r>
    <x v="1"/>
    <n v="1010"/>
    <d v="2025-08-30T00:00:00"/>
    <x v="4"/>
    <s v="Drucker"/>
    <s v="Canon Pixma"/>
    <d v="2021-11-03T00:00:00"/>
    <n v="823.23"/>
    <s v="Berlin"/>
    <s v="Carolin Hande"/>
    <s v="IT"/>
    <s v="Hamburg"/>
  </r>
  <r>
    <x v="2"/>
    <n v="1012"/>
    <d v="2025-05-31T00:00:00"/>
    <x v="5"/>
    <s v="Smartphone"/>
    <s v="Samsung S21"/>
    <d v="2024-01-01T00:00:00"/>
    <n v="1257.96"/>
    <s v="München"/>
    <s v="Ariane Klemt-Kaul"/>
    <s v="IT"/>
    <s v="München"/>
  </r>
  <r>
    <x v="2"/>
    <n v="1007"/>
    <d v="2024-07-03T00:00:00"/>
    <x v="2"/>
    <s v="Smartphone"/>
    <s v="Samsung S21"/>
    <d v="2024-01-01T00:00:00"/>
    <n v="1257.96"/>
    <s v="München"/>
    <s v="Orhan Siering MBA."/>
    <s v="IT"/>
    <s v="Berlin"/>
  </r>
  <r>
    <x v="3"/>
    <n v="1001"/>
    <d v="2024-09-09T00:00:00"/>
    <x v="6"/>
    <s v="Laptop"/>
    <s v="Lenovo ThinkPad"/>
    <d v="2021-06-13T00:00:00"/>
    <n v="869.09"/>
    <s v="Hamburg"/>
    <s v="Aleksandr Weinhage"/>
    <s v="IT"/>
    <s v="Berlin"/>
  </r>
  <r>
    <x v="3"/>
    <n v="1001"/>
    <d v="2025-08-11T00:00:00"/>
    <x v="2"/>
    <s v="Laptop"/>
    <s v="Lenovo ThinkPad"/>
    <d v="2021-06-13T00:00:00"/>
    <n v="869.09"/>
    <s v="Hamburg"/>
    <s v="Aleksandr Weinhage"/>
    <s v="IT"/>
    <s v="Berlin"/>
  </r>
  <r>
    <x v="4"/>
    <n v="1011"/>
    <d v="2025-07-12T00:00:00"/>
    <x v="7"/>
    <s v="Laptop"/>
    <s v="Dell XPS"/>
    <d v="2023-04-10T00:00:00"/>
    <n v="1458.02"/>
    <s v="München"/>
    <s v="Auguste Davids"/>
    <s v="IT"/>
    <s v="Hamburg"/>
  </r>
  <r>
    <x v="5"/>
    <n v="1005"/>
    <d v="2025-06-29T00:00:00"/>
    <x v="8"/>
    <s v="Drucker"/>
    <s v="Brother HL"/>
    <d v="2025-09-09T00:00:00"/>
    <n v="1417.1"/>
    <s v="München"/>
    <s v="Alexandre Davids"/>
    <s v="Vertrieb"/>
    <s v="Berlin"/>
  </r>
  <r>
    <x v="6"/>
    <n v="1012"/>
    <d v="2024-05-07T00:00:00"/>
    <x v="9"/>
    <s v="Drucker"/>
    <s v="Canon Pixma"/>
    <d v="2021-05-16T00:00:00"/>
    <n v="1898.65"/>
    <s v="Hamburg"/>
    <s v="Ariane Klemt-Kaul"/>
    <s v="IT"/>
    <s v="München"/>
  </r>
  <r>
    <x v="6"/>
    <n v="1009"/>
    <d v="2024-01-28T00:00:00"/>
    <x v="10"/>
    <s v="Drucker"/>
    <s v="Canon Pixma"/>
    <d v="2021-05-16T00:00:00"/>
    <n v="1898.65"/>
    <s v="Hamburg"/>
    <s v="Univ.Prof. Heimo Karge"/>
    <s v="Marketing"/>
    <s v="Hamburg"/>
  </r>
  <r>
    <x v="7"/>
    <n v="1001"/>
    <d v="2024-11-26T00:00:00"/>
    <x v="11"/>
    <s v="Laptop"/>
    <s v="Lenovo ThinkPad"/>
    <d v="2021-03-03T00:00:00"/>
    <n v="1415.97"/>
    <s v="Hamburg"/>
    <s v="Aleksandr Weinhage"/>
    <s v="IT"/>
    <s v="Berlin"/>
  </r>
  <r>
    <x v="8"/>
    <n v="1010"/>
    <d v="2024-03-26T00:00:00"/>
    <x v="12"/>
    <s v="Smartphone"/>
    <s v="iPhone 13"/>
    <d v="2022-09-20T00:00:00"/>
    <n v="661.44"/>
    <s v="München"/>
    <s v="Carolin Hande"/>
    <s v="IT"/>
    <s v="Hamburg"/>
  </r>
  <r>
    <x v="8"/>
    <n v="1002"/>
    <d v="2024-08-15T00:00:00"/>
    <x v="2"/>
    <s v="Smartphone"/>
    <s v="iPhone 13"/>
    <d v="2022-09-20T00:00:00"/>
    <n v="661.44"/>
    <s v="München"/>
    <s v="Eleni Hauffer"/>
    <s v="IT"/>
    <s v="Berlin"/>
  </r>
  <r>
    <x v="9"/>
    <n v="1010"/>
    <d v="2025-07-28T00:00:00"/>
    <x v="2"/>
    <s v="Drucker"/>
    <s v="Canon Pixma"/>
    <d v="2023-03-30T00:00:00"/>
    <n v="1501.06"/>
    <s v="Berlin"/>
    <s v="Carolin Hande"/>
    <s v="IT"/>
    <s v="Hamburg"/>
  </r>
  <r>
    <x v="9"/>
    <n v="1002"/>
    <d v="2025-05-22T00:00:00"/>
    <x v="13"/>
    <s v="Drucker"/>
    <s v="Canon Pixma"/>
    <d v="2023-03-30T00:00:00"/>
    <n v="1501.06"/>
    <s v="Berlin"/>
    <s v="Eleni Hauffer"/>
    <s v="IT"/>
    <s v="Berlin"/>
  </r>
  <r>
    <x v="9"/>
    <n v="1003"/>
    <d v="2024-02-08T00:00:00"/>
    <x v="14"/>
    <s v="Drucker"/>
    <s v="Canon Pixma"/>
    <d v="2023-03-30T00:00:00"/>
    <n v="1501.06"/>
    <s v="Berlin"/>
    <s v="Paul Dobes-Stiffel"/>
    <s v="Produktion"/>
    <s v="Hamburg"/>
  </r>
  <r>
    <x v="9"/>
    <n v="1007"/>
    <d v="2025-05-18T00:00:00"/>
    <x v="15"/>
    <s v="Drucker"/>
    <s v="Canon Pixma"/>
    <d v="2023-03-30T00:00:00"/>
    <n v="1501.06"/>
    <s v="Berlin"/>
    <s v="Orhan Siering MBA."/>
    <s v="IT"/>
    <s v="Berlin"/>
  </r>
  <r>
    <x v="9"/>
    <n v="1010"/>
    <d v="2025-05-31T00:00:00"/>
    <x v="16"/>
    <s v="Drucker"/>
    <s v="Canon Pixma"/>
    <d v="2023-03-30T00:00:00"/>
    <n v="1501.06"/>
    <s v="Berlin"/>
    <s v="Carolin Hande"/>
    <s v="IT"/>
    <s v="Hamburg"/>
  </r>
  <r>
    <x v="10"/>
    <n v="1011"/>
    <d v="2024-10-03T00:00:00"/>
    <x v="17"/>
    <s v="Tablet"/>
    <s v="iPad"/>
    <d v="2022-10-05T00:00:00"/>
    <n v="1688.07"/>
    <s v="München"/>
    <s v="Auguste Davids"/>
    <s v="IT"/>
    <s v="Hamburg"/>
  </r>
  <r>
    <x v="11"/>
    <n v="1008"/>
    <d v="2025-09-30T00:00:00"/>
    <x v="18"/>
    <s v="Monitor"/>
    <s v="Samsung Curved"/>
    <d v="2023-02-22T00:00:00"/>
    <n v="1134.1600000000001"/>
    <s v="München"/>
    <s v="Dipl.-Ing. Klaus-Werner Holsten B.Sc."/>
    <s v="IT"/>
    <s v="Hamburg"/>
  </r>
  <r>
    <x v="12"/>
    <n v="1002"/>
    <d v="2025-08-30T00:00:00"/>
    <x v="19"/>
    <s v="Tablet"/>
    <s v="iPad"/>
    <d v="2024-08-20T00:00:00"/>
    <n v="1591.98"/>
    <s v="Hamburg"/>
    <s v="Eleni Hauffer"/>
    <s v="IT"/>
    <s v="Berlin"/>
  </r>
  <r>
    <x v="12"/>
    <n v="1002"/>
    <d v="2024-07-20T00:00:00"/>
    <x v="20"/>
    <s v="Tablet"/>
    <s v="iPad"/>
    <d v="2024-08-20T00:00:00"/>
    <n v="1591.98"/>
    <s v="Hamburg"/>
    <s v="Eleni Hauffer"/>
    <s v="IT"/>
    <s v="Berlin"/>
  </r>
  <r>
    <x v="13"/>
    <n v="1005"/>
    <d v="2025-03-27T00:00:00"/>
    <x v="21"/>
    <s v="Monitor"/>
    <s v="Dell UltraSharp"/>
    <d v="2022-03-01T00:00:00"/>
    <n v="750.91"/>
    <s v="Berlin"/>
    <s v="Alexandre Davids"/>
    <s v="Vertrieb"/>
    <s v="Berlin"/>
  </r>
  <r>
    <x v="13"/>
    <n v="1008"/>
    <d v="2024-03-24T00:00:00"/>
    <x v="2"/>
    <s v="Monitor"/>
    <s v="Dell UltraSharp"/>
    <d v="2022-03-01T00:00:00"/>
    <n v="750.91"/>
    <s v="Berlin"/>
    <s v="Dipl.-Ing. Klaus-Werner Holsten B.Sc."/>
    <s v="IT"/>
    <s v="Hamburg"/>
  </r>
  <r>
    <x v="14"/>
    <n v="1005"/>
    <d v="2025-01-18T00:00:00"/>
    <x v="2"/>
    <s v="Beamer"/>
    <s v="Epson EB"/>
    <d v="2023-12-06T00:00:00"/>
    <n v="545.46"/>
    <s v="Berlin"/>
    <s v="Alexandre Davids"/>
    <s v="Vertrieb"/>
    <s v="Berlin"/>
  </r>
  <r>
    <x v="15"/>
    <n v="1004"/>
    <d v="2024-04-21T00:00:00"/>
    <x v="22"/>
    <s v="Monitor"/>
    <s v="Samsung Curved"/>
    <d v="2022-07-24T00:00:00"/>
    <n v="501.64"/>
    <s v="München"/>
    <s v="Klemens Löffler"/>
    <s v="Vertrieb"/>
    <s v="Hamburg"/>
  </r>
  <r>
    <x v="16"/>
    <n v="1004"/>
    <d v="2024-08-19T00:00:00"/>
    <x v="2"/>
    <s v="Beamer"/>
    <s v="Epson EB"/>
    <d v="2023-01-19T00:00:00"/>
    <n v="1246.58"/>
    <s v="Hamburg"/>
    <s v="Klemens Löffler"/>
    <s v="Vertrieb"/>
    <s v="Hamburg"/>
  </r>
  <r>
    <x v="16"/>
    <n v="1006"/>
    <d v="2024-12-04T00:00:00"/>
    <x v="23"/>
    <s v="Beamer"/>
    <s v="Epson EB"/>
    <d v="2023-01-19T00:00:00"/>
    <n v="1246.58"/>
    <s v="Hamburg"/>
    <s v="Eric Patberg B.Sc."/>
    <s v="Vertrieb"/>
    <s v="Hamburg"/>
  </r>
  <r>
    <x v="16"/>
    <n v="1003"/>
    <d v="2024-10-30T00:00:00"/>
    <x v="24"/>
    <s v="Beamer"/>
    <s v="Epson EB"/>
    <d v="2023-01-19T00:00:00"/>
    <n v="1246.58"/>
    <s v="Hamburg"/>
    <s v="Paul Dobes-Stiffel"/>
    <s v="Produktion"/>
    <s v="Hamburg"/>
  </r>
  <r>
    <x v="17"/>
    <n v="1002"/>
    <d v="2025-09-21T00:00:00"/>
    <x v="25"/>
    <s v="Laptop"/>
    <s v="Lenovo ThinkPad"/>
    <d v="2021-05-21T00:00:00"/>
    <n v="1553.15"/>
    <s v="Hamburg"/>
    <s v="Eleni Hauffer"/>
    <s v="IT"/>
    <s v="Berlin"/>
  </r>
  <r>
    <x v="18"/>
    <n v="1012"/>
    <d v="2025-05-15T00:00:00"/>
    <x v="26"/>
    <s v="Beamer"/>
    <s v="Epson EB"/>
    <d v="2022-03-27T00:00:00"/>
    <n v="1629.76"/>
    <s v="München"/>
    <s v="Ariane Klemt-Kaul"/>
    <s v="IT"/>
    <s v="München"/>
  </r>
  <r>
    <x v="18"/>
    <n v="1005"/>
    <d v="2023-12-01T00:00:00"/>
    <x v="27"/>
    <s v="Beamer"/>
    <s v="Epson EB"/>
    <d v="2022-03-27T00:00:00"/>
    <n v="1629.76"/>
    <s v="München"/>
    <s v="Alexandre Davids"/>
    <s v="Vertrieb"/>
    <s v="Berlin"/>
  </r>
  <r>
    <x v="19"/>
    <n v="1004"/>
    <d v="2024-01-29T00:00:00"/>
    <x v="2"/>
    <s v="Laptop"/>
    <s v="HP EliteBook"/>
    <d v="2025-04-28T00:00:00"/>
    <n v="1095.6199999999999"/>
    <s v="München"/>
    <s v="Klemens Löffler"/>
    <s v="Vertrieb"/>
    <s v="Hamburg"/>
  </r>
  <r>
    <x v="19"/>
    <n v="1004"/>
    <d v="2024-02-14T00:00:00"/>
    <x v="2"/>
    <s v="Laptop"/>
    <s v="HP EliteBook"/>
    <d v="2025-04-28T00:00:00"/>
    <n v="1095.6199999999999"/>
    <s v="München"/>
    <s v="Klemens Löffler"/>
    <s v="Vertrieb"/>
    <s v="Hamburg"/>
  </r>
  <r>
    <x v="20"/>
    <n v="1003"/>
    <d v="2024-08-04T00:00:00"/>
    <x v="28"/>
    <s v="Laptop"/>
    <s v="Lenovo ThinkPad"/>
    <d v="2022-11-11T00:00:00"/>
    <n v="1801.36"/>
    <s v="München"/>
    <s v="Paul Dobes-Stiffel"/>
    <s v="Produktion"/>
    <s v="Hamburg"/>
  </r>
  <r>
    <x v="21"/>
    <n v="1009"/>
    <d v="2025-03-24T00:00:00"/>
    <x v="29"/>
    <s v="Beamer"/>
    <s v="BenQ MW550"/>
    <d v="2022-03-03T00:00:00"/>
    <n v="1212.29"/>
    <s v="Berlin"/>
    <s v="Univ.Prof. Heimo Karge"/>
    <s v="Marketing"/>
    <s v="Hamburg"/>
  </r>
  <r>
    <x v="21"/>
    <n v="1002"/>
    <d v="2025-03-25T00:00:00"/>
    <x v="2"/>
    <s v="Beamer"/>
    <s v="BenQ MW550"/>
    <d v="2022-03-03T00:00:00"/>
    <n v="1212.29"/>
    <s v="Berlin"/>
    <s v="Eleni Hauffer"/>
    <s v="IT"/>
    <s v="Berlin"/>
  </r>
  <r>
    <x v="22"/>
    <n v="1009"/>
    <d v="2024-05-09T00:00:00"/>
    <x v="2"/>
    <s v="Beamer"/>
    <s v="BenQ MW550"/>
    <d v="2024-01-03T00:00:00"/>
    <n v="644.54"/>
    <s v="Berlin"/>
    <s v="Univ.Prof. Heimo Karge"/>
    <s v="Marketing"/>
    <s v="Hamburg"/>
  </r>
  <r>
    <x v="22"/>
    <n v="1003"/>
    <d v="2024-05-05T00:00:00"/>
    <x v="2"/>
    <s v="Beamer"/>
    <s v="BenQ MW550"/>
    <d v="2024-01-03T00:00:00"/>
    <n v="644.54"/>
    <s v="Berlin"/>
    <s v="Paul Dobes-Stiffel"/>
    <s v="Produktion"/>
    <s v="Hamburg"/>
  </r>
  <r>
    <x v="22"/>
    <n v="1001"/>
    <d v="2024-01-06T00:00:00"/>
    <x v="2"/>
    <s v="Beamer"/>
    <s v="BenQ MW550"/>
    <d v="2024-01-03T00:00:00"/>
    <n v="644.54"/>
    <s v="Berlin"/>
    <s v="Aleksandr Weinhage"/>
    <s v="IT"/>
    <s v="Berlin"/>
  </r>
  <r>
    <x v="22"/>
    <n v="1001"/>
    <d v="2024-12-15T00:00:00"/>
    <x v="2"/>
    <s v="Beamer"/>
    <s v="BenQ MW550"/>
    <d v="2024-01-03T00:00:00"/>
    <n v="644.54"/>
    <s v="Berlin"/>
    <s v="Aleksandr Weinhage"/>
    <s v="IT"/>
    <s v="Berlin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G0004"/>
    <n v="1003"/>
    <x v="0"/>
    <d v="2025-09-08T00:00:00"/>
    <x v="0"/>
    <s v="Dell XPS"/>
    <n v="45782"/>
    <n v="1007.88"/>
    <x v="0"/>
    <s v="Paul Dobes-Stiffel"/>
    <s v="Produktion"/>
    <s v="Hamburg"/>
  </r>
  <r>
    <s v="G0004"/>
    <n v="1001"/>
    <x v="1"/>
    <d v="2025-08-12T00:00:00"/>
    <x v="0"/>
    <s v="Dell XPS"/>
    <n v="45782"/>
    <n v="1007.88"/>
    <x v="0"/>
    <s v="Aleksandr Weinhage"/>
    <s v="IT"/>
    <s v="Berlin"/>
  </r>
  <r>
    <s v="G0005"/>
    <n v="1009"/>
    <x v="2"/>
    <m/>
    <x v="1"/>
    <s v="Canon Pixma"/>
    <n v="44503"/>
    <n v="823.23"/>
    <x v="1"/>
    <s v="Univ.Prof. Heimo Karge"/>
    <s v="Marketing"/>
    <s v="Hamburg"/>
  </r>
  <r>
    <s v="G0005"/>
    <n v="1006"/>
    <x v="3"/>
    <d v="2025-09-22T00:00:00"/>
    <x v="1"/>
    <s v="Canon Pixma"/>
    <n v="44503"/>
    <n v="823.23"/>
    <x v="1"/>
    <s v="Eric Patberg B.Sc."/>
    <s v="Vertrieb"/>
    <s v="Hamburg"/>
  </r>
  <r>
    <s v="G0005"/>
    <n v="1012"/>
    <x v="4"/>
    <m/>
    <x v="1"/>
    <s v="Canon Pixma"/>
    <n v="44503"/>
    <n v="823.23"/>
    <x v="1"/>
    <s v="Ariane Klemt-Kaul"/>
    <s v="IT"/>
    <s v="München"/>
  </r>
  <r>
    <s v="G0005"/>
    <n v="1010"/>
    <x v="5"/>
    <d v="2025-09-25T00:00:00"/>
    <x v="1"/>
    <s v="Canon Pixma"/>
    <n v="44503"/>
    <n v="823.23"/>
    <x v="1"/>
    <s v="Carolin Hande"/>
    <s v="IT"/>
    <s v="Hamburg"/>
  </r>
  <r>
    <s v="G0006"/>
    <n v="1012"/>
    <x v="6"/>
    <d v="2025-06-10T00:00:00"/>
    <x v="2"/>
    <s v="Samsung S21"/>
    <n v="45292"/>
    <n v="1257.96"/>
    <x v="0"/>
    <s v="Ariane Klemt-Kaul"/>
    <s v="IT"/>
    <s v="München"/>
  </r>
  <r>
    <s v="G0006"/>
    <n v="1007"/>
    <x v="7"/>
    <m/>
    <x v="2"/>
    <s v="Samsung S21"/>
    <n v="45292"/>
    <n v="1257.96"/>
    <x v="0"/>
    <s v="Orhan Siering MBA."/>
    <s v="IT"/>
    <s v="Berlin"/>
  </r>
  <r>
    <s v="G0007"/>
    <n v="1001"/>
    <x v="8"/>
    <d v="2025-07-16T00:00:00"/>
    <x v="0"/>
    <s v="Lenovo ThinkPad"/>
    <n v="44360"/>
    <n v="869.09"/>
    <x v="2"/>
    <s v="Aleksandr Weinhage"/>
    <s v="IT"/>
    <s v="Berlin"/>
  </r>
  <r>
    <s v="G0007"/>
    <n v="1001"/>
    <x v="1"/>
    <m/>
    <x v="0"/>
    <s v="Lenovo ThinkPad"/>
    <n v="44360"/>
    <n v="869.09"/>
    <x v="2"/>
    <s v="Aleksandr Weinhage"/>
    <s v="IT"/>
    <s v="Berlin"/>
  </r>
  <r>
    <s v="G0009"/>
    <n v="1011"/>
    <x v="9"/>
    <d v="2025-07-15T00:00:00"/>
    <x v="0"/>
    <s v="Dell XPS"/>
    <n v="45026"/>
    <n v="1458.02"/>
    <x v="0"/>
    <s v="Auguste Davids"/>
    <s v="IT"/>
    <s v="Hamburg"/>
  </r>
  <r>
    <s v="G0011"/>
    <n v="1005"/>
    <x v="10"/>
    <d v="2025-08-29T00:00:00"/>
    <x v="1"/>
    <s v="Brother HL"/>
    <n v="45909"/>
    <n v="1417.1"/>
    <x v="0"/>
    <s v="Alexandre Davids"/>
    <s v="Vertrieb"/>
    <s v="Berlin"/>
  </r>
  <r>
    <s v="G0013"/>
    <n v="1012"/>
    <x v="11"/>
    <d v="2024-06-27T00:00:00"/>
    <x v="1"/>
    <s v="Canon Pixma"/>
    <n v="44332"/>
    <n v="1898.65"/>
    <x v="2"/>
    <s v="Ariane Klemt-Kaul"/>
    <s v="IT"/>
    <s v="München"/>
  </r>
  <r>
    <s v="G0013"/>
    <n v="1009"/>
    <x v="12"/>
    <d v="2025-02-26T00:00:00"/>
    <x v="1"/>
    <s v="Canon Pixma"/>
    <n v="44332"/>
    <n v="1898.65"/>
    <x v="2"/>
    <s v="Univ.Prof. Heimo Karge"/>
    <s v="Marketing"/>
    <s v="Hamburg"/>
  </r>
  <r>
    <s v="G0014"/>
    <n v="1001"/>
    <x v="13"/>
    <d v="2025-03-03T00:00:00"/>
    <x v="0"/>
    <s v="Lenovo ThinkPad"/>
    <n v="44258"/>
    <n v="1415.97"/>
    <x v="2"/>
    <s v="Aleksandr Weinhage"/>
    <s v="IT"/>
    <s v="Berlin"/>
  </r>
  <r>
    <s v="G0015"/>
    <n v="1010"/>
    <x v="14"/>
    <d v="2025-08-17T00:00:00"/>
    <x v="2"/>
    <s v="iPhone 13"/>
    <n v="44824"/>
    <n v="661.44"/>
    <x v="0"/>
    <s v="Carolin Hande"/>
    <s v="IT"/>
    <s v="Hamburg"/>
  </r>
  <r>
    <s v="G0015"/>
    <n v="1002"/>
    <x v="15"/>
    <m/>
    <x v="2"/>
    <s v="iPhone 13"/>
    <n v="44824"/>
    <n v="661.44"/>
    <x v="0"/>
    <s v="Eleni Hauffer"/>
    <s v="IT"/>
    <s v="Berlin"/>
  </r>
  <r>
    <s v="G0016"/>
    <n v="1010"/>
    <x v="16"/>
    <m/>
    <x v="1"/>
    <s v="Canon Pixma"/>
    <n v="45015"/>
    <n v="1501.06"/>
    <x v="1"/>
    <s v="Carolin Hande"/>
    <s v="IT"/>
    <s v="Hamburg"/>
  </r>
  <r>
    <s v="G0016"/>
    <n v="1002"/>
    <x v="17"/>
    <d v="2025-05-31T00:00:00"/>
    <x v="1"/>
    <s v="Canon Pixma"/>
    <n v="45015"/>
    <n v="1501.06"/>
    <x v="1"/>
    <s v="Eleni Hauffer"/>
    <s v="IT"/>
    <s v="Berlin"/>
  </r>
  <r>
    <s v="G0016"/>
    <n v="1003"/>
    <x v="18"/>
    <d v="2025-06-09T00:00:00"/>
    <x v="1"/>
    <s v="Canon Pixma"/>
    <n v="45015"/>
    <n v="1501.06"/>
    <x v="1"/>
    <s v="Paul Dobes-Stiffel"/>
    <s v="Produktion"/>
    <s v="Hamburg"/>
  </r>
  <r>
    <s v="G0016"/>
    <n v="1007"/>
    <x v="19"/>
    <d v="2025-07-08T00:00:00"/>
    <x v="1"/>
    <s v="Canon Pixma"/>
    <n v="45015"/>
    <n v="1501.06"/>
    <x v="1"/>
    <s v="Orhan Siering MBA."/>
    <s v="IT"/>
    <s v="Berlin"/>
  </r>
  <r>
    <s v="G0016"/>
    <n v="1010"/>
    <x v="6"/>
    <d v="2025-10-02T00:00:00"/>
    <x v="1"/>
    <s v="Canon Pixma"/>
    <n v="45015"/>
    <n v="1501.06"/>
    <x v="1"/>
    <s v="Carolin Hande"/>
    <s v="IT"/>
    <s v="Hamburg"/>
  </r>
  <r>
    <s v="G0018"/>
    <n v="1011"/>
    <x v="20"/>
    <d v="2024-11-27T00:00:00"/>
    <x v="3"/>
    <s v="iPad"/>
    <n v="44839"/>
    <n v="1688.07"/>
    <x v="0"/>
    <s v="Auguste Davids"/>
    <s v="IT"/>
    <s v="Hamburg"/>
  </r>
  <r>
    <s v="G0021"/>
    <n v="1008"/>
    <x v="21"/>
    <d v="2025-10-05T00:00:00"/>
    <x v="4"/>
    <s v="Samsung Curved"/>
    <n v="44979"/>
    <n v="1134.1600000000001"/>
    <x v="0"/>
    <s v="Dipl.-Ing. Klaus-Werner Holsten B.Sc."/>
    <s v="IT"/>
    <s v="Hamburg"/>
  </r>
  <r>
    <s v="G0022"/>
    <n v="1002"/>
    <x v="5"/>
    <d v="2025-09-30T00:00:00"/>
    <x v="3"/>
    <s v="iPad"/>
    <n v="45524"/>
    <n v="1591.98"/>
    <x v="2"/>
    <s v="Eleni Hauffer"/>
    <s v="IT"/>
    <s v="Berlin"/>
  </r>
  <r>
    <s v="G0022"/>
    <n v="1002"/>
    <x v="22"/>
    <d v="2025-01-06T00:00:00"/>
    <x v="3"/>
    <s v="iPad"/>
    <n v="45524"/>
    <n v="1591.98"/>
    <x v="2"/>
    <s v="Eleni Hauffer"/>
    <s v="IT"/>
    <s v="Berlin"/>
  </r>
  <r>
    <s v="G0024"/>
    <n v="1005"/>
    <x v="23"/>
    <d v="2025-07-30T00:00:00"/>
    <x v="4"/>
    <s v="Dell UltraSharp"/>
    <n v="44621"/>
    <n v="750.91"/>
    <x v="1"/>
    <s v="Alexandre Davids"/>
    <s v="Vertrieb"/>
    <s v="Berlin"/>
  </r>
  <r>
    <s v="G0024"/>
    <n v="1008"/>
    <x v="24"/>
    <m/>
    <x v="4"/>
    <s v="Dell UltraSharp"/>
    <n v="44621"/>
    <n v="750.91"/>
    <x v="1"/>
    <s v="Dipl.-Ing. Klaus-Werner Holsten B.Sc."/>
    <s v="IT"/>
    <s v="Hamburg"/>
  </r>
  <r>
    <s v="G0025"/>
    <n v="1005"/>
    <x v="25"/>
    <m/>
    <x v="5"/>
    <s v="Epson EB"/>
    <n v="45266"/>
    <n v="545.46"/>
    <x v="1"/>
    <s v="Alexandre Davids"/>
    <s v="Vertrieb"/>
    <s v="Berlin"/>
  </r>
  <r>
    <s v="G0027"/>
    <n v="1004"/>
    <x v="26"/>
    <d v="2025-07-01T00:00:00"/>
    <x v="4"/>
    <s v="Samsung Curved"/>
    <n v="44766"/>
    <n v="501.64"/>
    <x v="0"/>
    <s v="Klemens Löffler"/>
    <s v="Vertrieb"/>
    <s v="Hamburg"/>
  </r>
  <r>
    <s v="G0028"/>
    <n v="1004"/>
    <x v="27"/>
    <m/>
    <x v="5"/>
    <s v="Epson EB"/>
    <n v="44945"/>
    <n v="1246.58"/>
    <x v="2"/>
    <s v="Klemens Löffler"/>
    <s v="Vertrieb"/>
    <s v="Hamburg"/>
  </r>
  <r>
    <s v="G0028"/>
    <n v="1006"/>
    <x v="28"/>
    <d v="2025-03-16T00:00:00"/>
    <x v="5"/>
    <s v="Epson EB"/>
    <n v="44945"/>
    <n v="1246.58"/>
    <x v="2"/>
    <s v="Eric Patberg B.Sc."/>
    <s v="Vertrieb"/>
    <s v="Hamburg"/>
  </r>
  <r>
    <s v="G0028"/>
    <n v="1003"/>
    <x v="29"/>
    <d v="2024-12-04T00:00:00"/>
    <x v="5"/>
    <s v="Epson EB"/>
    <n v="44945"/>
    <n v="1246.58"/>
    <x v="2"/>
    <s v="Paul Dobes-Stiffel"/>
    <s v="Produktion"/>
    <s v="Hamburg"/>
  </r>
  <r>
    <s v="G0029"/>
    <n v="1002"/>
    <x v="30"/>
    <d v="2025-10-04T00:00:00"/>
    <x v="0"/>
    <s v="Lenovo ThinkPad"/>
    <n v="44337"/>
    <n v="1553.15"/>
    <x v="2"/>
    <s v="Eleni Hauffer"/>
    <s v="IT"/>
    <s v="Berlin"/>
  </r>
  <r>
    <s v="G0030"/>
    <n v="1012"/>
    <x v="31"/>
    <d v="2025-09-05T00:00:00"/>
    <x v="5"/>
    <s v="Epson EB"/>
    <n v="44647"/>
    <n v="1629.76"/>
    <x v="0"/>
    <s v="Ariane Klemt-Kaul"/>
    <s v="IT"/>
    <s v="München"/>
  </r>
  <r>
    <s v="G0030"/>
    <n v="1005"/>
    <x v="32"/>
    <d v="2024-09-24T00:00:00"/>
    <x v="5"/>
    <s v="Epson EB"/>
    <n v="44647"/>
    <n v="1629.76"/>
    <x v="0"/>
    <s v="Alexandre Davids"/>
    <s v="Vertrieb"/>
    <s v="Berlin"/>
  </r>
  <r>
    <s v="G0031"/>
    <n v="1004"/>
    <x v="33"/>
    <m/>
    <x v="0"/>
    <s v="HP EliteBook"/>
    <n v="45775"/>
    <n v="1095.6199999999999"/>
    <x v="0"/>
    <s v="Klemens Löffler"/>
    <s v="Vertrieb"/>
    <s v="Hamburg"/>
  </r>
  <r>
    <s v="G0031"/>
    <n v="1004"/>
    <x v="34"/>
    <m/>
    <x v="0"/>
    <s v="HP EliteBook"/>
    <n v="45775"/>
    <n v="1095.6199999999999"/>
    <x v="0"/>
    <s v="Klemens Löffler"/>
    <s v="Vertrieb"/>
    <s v="Hamburg"/>
  </r>
  <r>
    <s v="G0032"/>
    <n v="1003"/>
    <x v="35"/>
    <d v="2025-08-02T00:00:00"/>
    <x v="0"/>
    <s v="Lenovo ThinkPad"/>
    <n v="44876"/>
    <n v="1801.36"/>
    <x v="0"/>
    <s v="Paul Dobes-Stiffel"/>
    <s v="Produktion"/>
    <s v="Hamburg"/>
  </r>
  <r>
    <s v="G0033"/>
    <n v="1009"/>
    <x v="36"/>
    <d v="2025-05-07T00:00:00"/>
    <x v="5"/>
    <s v="BenQ MW550"/>
    <n v="44623"/>
    <n v="1212.29"/>
    <x v="1"/>
    <s v="Univ.Prof. Heimo Karge"/>
    <s v="Marketing"/>
    <s v="Hamburg"/>
  </r>
  <r>
    <s v="G0033"/>
    <n v="1002"/>
    <x v="37"/>
    <m/>
    <x v="5"/>
    <s v="BenQ MW550"/>
    <n v="44623"/>
    <n v="1212.29"/>
    <x v="1"/>
    <s v="Eleni Hauffer"/>
    <s v="IT"/>
    <s v="Berlin"/>
  </r>
  <r>
    <s v="G0035"/>
    <n v="1009"/>
    <x v="38"/>
    <m/>
    <x v="5"/>
    <s v="BenQ MW550"/>
    <n v="45294"/>
    <n v="644.54"/>
    <x v="1"/>
    <s v="Univ.Prof. Heimo Karge"/>
    <s v="Marketing"/>
    <s v="Hamburg"/>
  </r>
  <r>
    <s v="G0035"/>
    <n v="1003"/>
    <x v="39"/>
    <m/>
    <x v="5"/>
    <s v="BenQ MW550"/>
    <n v="45294"/>
    <n v="644.54"/>
    <x v="1"/>
    <s v="Paul Dobes-Stiffel"/>
    <s v="Produktion"/>
    <s v="Hamburg"/>
  </r>
  <r>
    <s v="G0035"/>
    <n v="1001"/>
    <x v="40"/>
    <m/>
    <x v="5"/>
    <s v="BenQ MW550"/>
    <n v="45294"/>
    <n v="644.54"/>
    <x v="1"/>
    <s v="Aleksandr Weinhage"/>
    <s v="IT"/>
    <s v="Berlin"/>
  </r>
  <r>
    <s v="G0035"/>
    <n v="1001"/>
    <x v="41"/>
    <m/>
    <x v="5"/>
    <s v="BenQ MW550"/>
    <n v="45294"/>
    <n v="644.54"/>
    <x v="1"/>
    <s v="Aleksandr Weinhage"/>
    <s v="IT"/>
    <s v="Berli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14F04-F997-294C-932B-6C5EBCF12421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 rowPageCount="1" colPageCount="1"/>
  <pivotFields count="15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umFmtId="1" showAll="0"/>
    <pivotField numFmtId="14" showAll="0"/>
    <pivotField axis="axisPage" multipleItemSelectionAllowed="1" showAll="0">
      <items count="31">
        <item x="9"/>
        <item x="27"/>
        <item x="17"/>
        <item x="24"/>
        <item x="20"/>
        <item x="10"/>
        <item x="11"/>
        <item x="23"/>
        <item x="29"/>
        <item x="13"/>
        <item x="14"/>
        <item x="5"/>
        <item x="22"/>
        <item x="15"/>
        <item x="7"/>
        <item x="6"/>
        <item x="21"/>
        <item x="28"/>
        <item x="1"/>
        <item x="12"/>
        <item x="8"/>
        <item x="26"/>
        <item x="0"/>
        <item x="3"/>
        <item x="4"/>
        <item x="19"/>
        <item x="16"/>
        <item x="25"/>
        <item x="18"/>
        <item h="1" x="2"/>
        <item t="default"/>
      </items>
    </pivotField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8"/>
    </i>
    <i>
      <x v="20"/>
    </i>
    <i>
      <x v="21"/>
    </i>
    <i t="grand">
      <x/>
    </i>
  </rowItems>
  <colItems count="1">
    <i/>
  </colItems>
  <pageFields count="1">
    <pageField fld="3" hier="-1"/>
  </pageFields>
  <dataFields count="1">
    <dataField name="Sum of Netto-Kaufprei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03F12-C04C-4A4E-992F-DF8593B339E8}" name="PivotTable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Gerätetyp">
  <location ref="A3:E11" firstHeaderRow="1" firstDataRow="2" firstDataCol="1"/>
  <pivotFields count="15">
    <pivotField showAll="0"/>
    <pivotField numFmtId="1" showAll="0"/>
    <pivotField dataField="1" numFmtId="14" showAll="0">
      <items count="43">
        <item x="32"/>
        <item x="40"/>
        <item x="12"/>
        <item x="33"/>
        <item x="18"/>
        <item x="34"/>
        <item x="24"/>
        <item x="14"/>
        <item x="2"/>
        <item x="26"/>
        <item x="39"/>
        <item x="11"/>
        <item x="38"/>
        <item x="7"/>
        <item x="22"/>
        <item x="35"/>
        <item x="15"/>
        <item x="27"/>
        <item x="8"/>
        <item x="20"/>
        <item x="29"/>
        <item x="4"/>
        <item x="13"/>
        <item x="28"/>
        <item x="41"/>
        <item x="25"/>
        <item x="36"/>
        <item x="37"/>
        <item x="23"/>
        <item x="31"/>
        <item x="19"/>
        <item x="17"/>
        <item x="6"/>
        <item x="0"/>
        <item x="10"/>
        <item x="9"/>
        <item x="16"/>
        <item x="1"/>
        <item x="3"/>
        <item x="5"/>
        <item x="30"/>
        <item x="21"/>
        <item t="default"/>
      </items>
    </pivotField>
    <pivotField showAll="0"/>
    <pivotField axis="axisRow" showAll="0">
      <items count="7">
        <item x="5"/>
        <item x="1"/>
        <item x="0"/>
        <item x="4"/>
        <item x="2"/>
        <item x="3"/>
        <item t="default"/>
      </items>
    </pivotField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Anzahl Ausleihen" fld="2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tarbeiter" connectionId="5" xr16:uid="{078223DC-AAA2-B745-A57B-DB58D366927B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leihen" connectionId="1" xr16:uid="{DA3CECFB-1AEB-F149-B554-A55B11CC662D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eraete" connectionId="4" xr16:uid="{AC58B2A5-4CD6-DC4A-B07B-E41E81A0CC1E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leihen" connectionId="3" xr16:uid="{2E49D399-EC11-D144-8EE4-6C980385949E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leihen" connectionId="2" xr16:uid="{0C3F4BDB-43FB-8749-9F9C-47B47B8F64A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0E02-DA23-7649-89B8-EF239887915A}">
  <dimension ref="A1:D13"/>
  <sheetViews>
    <sheetView zoomScale="156" workbookViewId="0">
      <selection activeCell="B1" sqref="B1:D1"/>
    </sheetView>
  </sheetViews>
  <sheetFormatPr baseColWidth="10" defaultRowHeight="16" x14ac:dyDescent="0.2"/>
  <cols>
    <col min="1" max="1" width="12.83203125" bestFit="1" customWidth="1"/>
    <col min="2" max="2" width="31.5" bestFit="1" customWidth="1"/>
    <col min="3" max="3" width="9.83203125" bestFit="1" customWidth="1"/>
    <col min="4" max="4" width="9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6">
        <v>1001</v>
      </c>
      <c r="B2" t="s">
        <v>4</v>
      </c>
      <c r="C2" t="s">
        <v>5</v>
      </c>
      <c r="D2" t="s">
        <v>6</v>
      </c>
    </row>
    <row r="3" spans="1:4" x14ac:dyDescent="0.2">
      <c r="A3" s="6">
        <v>1002</v>
      </c>
      <c r="B3" t="s">
        <v>7</v>
      </c>
      <c r="C3" t="s">
        <v>5</v>
      </c>
      <c r="D3" t="s">
        <v>6</v>
      </c>
    </row>
    <row r="4" spans="1:4" x14ac:dyDescent="0.2">
      <c r="A4" s="6">
        <v>1003</v>
      </c>
      <c r="B4" t="s">
        <v>8</v>
      </c>
      <c r="C4" t="s">
        <v>9</v>
      </c>
      <c r="D4" t="s">
        <v>10</v>
      </c>
    </row>
    <row r="5" spans="1:4" x14ac:dyDescent="0.2">
      <c r="A5" s="6">
        <v>1004</v>
      </c>
      <c r="B5" s="5" t="s">
        <v>81</v>
      </c>
      <c r="C5" t="s">
        <v>11</v>
      </c>
      <c r="D5" t="s">
        <v>10</v>
      </c>
    </row>
    <row r="6" spans="1:4" x14ac:dyDescent="0.2">
      <c r="A6" s="6">
        <v>1005</v>
      </c>
      <c r="B6" t="s">
        <v>12</v>
      </c>
      <c r="C6" t="s">
        <v>11</v>
      </c>
      <c r="D6" t="s">
        <v>6</v>
      </c>
    </row>
    <row r="7" spans="1:4" x14ac:dyDescent="0.2">
      <c r="A7" s="6">
        <v>1006</v>
      </c>
      <c r="B7" t="s">
        <v>13</v>
      </c>
      <c r="C7" t="s">
        <v>11</v>
      </c>
      <c r="D7" t="s">
        <v>10</v>
      </c>
    </row>
    <row r="8" spans="1:4" x14ac:dyDescent="0.2">
      <c r="A8" s="6">
        <v>1007</v>
      </c>
      <c r="B8" t="s">
        <v>14</v>
      </c>
      <c r="C8" t="s">
        <v>5</v>
      </c>
      <c r="D8" t="s">
        <v>6</v>
      </c>
    </row>
    <row r="9" spans="1:4" x14ac:dyDescent="0.2">
      <c r="A9" s="6">
        <v>1008</v>
      </c>
      <c r="B9" t="s">
        <v>15</v>
      </c>
      <c r="C9" t="s">
        <v>5</v>
      </c>
      <c r="D9" t="s">
        <v>10</v>
      </c>
    </row>
    <row r="10" spans="1:4" x14ac:dyDescent="0.2">
      <c r="A10" s="6">
        <v>1009</v>
      </c>
      <c r="B10" t="s">
        <v>16</v>
      </c>
      <c r="C10" t="s">
        <v>17</v>
      </c>
      <c r="D10" t="s">
        <v>10</v>
      </c>
    </row>
    <row r="11" spans="1:4" x14ac:dyDescent="0.2">
      <c r="A11" s="6">
        <v>1010</v>
      </c>
      <c r="B11" t="s">
        <v>18</v>
      </c>
      <c r="C11" t="s">
        <v>5</v>
      </c>
      <c r="D11" t="s">
        <v>10</v>
      </c>
    </row>
    <row r="12" spans="1:4" x14ac:dyDescent="0.2">
      <c r="A12" s="6">
        <v>1011</v>
      </c>
      <c r="B12" t="s">
        <v>19</v>
      </c>
      <c r="C12" t="s">
        <v>5</v>
      </c>
      <c r="D12" t="s">
        <v>10</v>
      </c>
    </row>
    <row r="13" spans="1:4" x14ac:dyDescent="0.2">
      <c r="A13" s="6">
        <v>1012</v>
      </c>
      <c r="B13" t="s">
        <v>20</v>
      </c>
      <c r="C13" t="s">
        <v>5</v>
      </c>
      <c r="D13" s="5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6F64-F7CB-4A45-8653-58F2C68324A6}">
  <dimension ref="A1:D46"/>
  <sheetViews>
    <sheetView zoomScale="162" workbookViewId="0">
      <selection sqref="A1:D1048576"/>
    </sheetView>
  </sheetViews>
  <sheetFormatPr baseColWidth="10" defaultRowHeight="16" x14ac:dyDescent="0.2"/>
  <cols>
    <col min="1" max="1" width="14.5" bestFit="1" customWidth="1"/>
    <col min="2" max="2" width="12.83203125" bestFit="1" customWidth="1"/>
    <col min="3" max="3" width="10.6640625" bestFit="1" customWidth="1"/>
    <col min="4" max="4" width="13" bestFit="1" customWidth="1"/>
  </cols>
  <sheetData>
    <row r="1" spans="1:4" x14ac:dyDescent="0.2">
      <c r="A1" t="s">
        <v>83</v>
      </c>
      <c r="B1" t="s">
        <v>0</v>
      </c>
      <c r="C1" t="s">
        <v>21</v>
      </c>
      <c r="D1" t="s">
        <v>84</v>
      </c>
    </row>
    <row r="2" spans="1:4" x14ac:dyDescent="0.2">
      <c r="A2" t="s">
        <v>40</v>
      </c>
      <c r="B2" s="6">
        <v>1003</v>
      </c>
      <c r="C2" s="1">
        <v>45827</v>
      </c>
      <c r="D2" s="1">
        <v>45908</v>
      </c>
    </row>
    <row r="3" spans="1:4" x14ac:dyDescent="0.2">
      <c r="A3" t="s">
        <v>40</v>
      </c>
      <c r="B3" s="6">
        <v>1001</v>
      </c>
      <c r="C3" s="1">
        <v>45880</v>
      </c>
      <c r="D3" s="1">
        <v>45881</v>
      </c>
    </row>
    <row r="4" spans="1:4" x14ac:dyDescent="0.2">
      <c r="A4" t="s">
        <v>27</v>
      </c>
      <c r="B4" s="6">
        <v>1009</v>
      </c>
      <c r="C4" s="1">
        <v>45389</v>
      </c>
    </row>
    <row r="5" spans="1:4" x14ac:dyDescent="0.2">
      <c r="A5" t="s">
        <v>27</v>
      </c>
      <c r="B5" s="6">
        <v>1006</v>
      </c>
      <c r="C5" s="1">
        <v>45892</v>
      </c>
      <c r="D5" s="1">
        <v>45922</v>
      </c>
    </row>
    <row r="6" spans="1:4" x14ac:dyDescent="0.2">
      <c r="A6" t="s">
        <v>27</v>
      </c>
      <c r="B6" s="6">
        <v>1012</v>
      </c>
      <c r="C6" s="1">
        <v>45599</v>
      </c>
    </row>
    <row r="7" spans="1:4" x14ac:dyDescent="0.2">
      <c r="A7" t="s">
        <v>27</v>
      </c>
      <c r="B7" s="6">
        <v>1010</v>
      </c>
      <c r="C7" s="1">
        <v>45899</v>
      </c>
      <c r="D7" s="1">
        <v>45925</v>
      </c>
    </row>
    <row r="8" spans="1:4" x14ac:dyDescent="0.2">
      <c r="A8" t="s">
        <v>26</v>
      </c>
      <c r="B8" s="6">
        <v>1012</v>
      </c>
      <c r="C8" s="1">
        <v>45808</v>
      </c>
      <c r="D8" s="1">
        <v>45818</v>
      </c>
    </row>
    <row r="9" spans="1:4" x14ac:dyDescent="0.2">
      <c r="A9" t="s">
        <v>26</v>
      </c>
      <c r="B9" s="6">
        <v>1007</v>
      </c>
      <c r="C9" s="1">
        <v>45476</v>
      </c>
    </row>
    <row r="10" spans="1:4" x14ac:dyDescent="0.2">
      <c r="A10" t="s">
        <v>39</v>
      </c>
      <c r="B10" s="6">
        <v>1001</v>
      </c>
      <c r="C10" s="1">
        <v>45544</v>
      </c>
      <c r="D10" s="1">
        <v>45854</v>
      </c>
    </row>
    <row r="11" spans="1:4" x14ac:dyDescent="0.2">
      <c r="A11" t="s">
        <v>39</v>
      </c>
      <c r="B11" s="6">
        <v>1001</v>
      </c>
      <c r="C11" s="1">
        <v>45880</v>
      </c>
    </row>
    <row r="12" spans="1:4" x14ac:dyDescent="0.2">
      <c r="A12" t="s">
        <v>28</v>
      </c>
      <c r="B12" s="6">
        <v>1011</v>
      </c>
      <c r="C12" s="1">
        <v>45850</v>
      </c>
      <c r="D12" s="1">
        <v>45853</v>
      </c>
    </row>
    <row r="13" spans="1:4" x14ac:dyDescent="0.2">
      <c r="A13" t="s">
        <v>29</v>
      </c>
      <c r="B13" s="6">
        <v>1005</v>
      </c>
      <c r="C13" s="1">
        <v>45837</v>
      </c>
      <c r="D13" s="1">
        <v>45898</v>
      </c>
    </row>
    <row r="14" spans="1:4" x14ac:dyDescent="0.2">
      <c r="A14" t="s">
        <v>31</v>
      </c>
      <c r="B14" s="6">
        <v>1012</v>
      </c>
      <c r="C14" s="1">
        <v>45419</v>
      </c>
      <c r="D14" s="1">
        <v>45470</v>
      </c>
    </row>
    <row r="15" spans="1:4" x14ac:dyDescent="0.2">
      <c r="A15" t="s">
        <v>31</v>
      </c>
      <c r="B15" s="6">
        <v>1009</v>
      </c>
      <c r="C15" s="1">
        <v>45319</v>
      </c>
      <c r="D15" s="1">
        <v>45714</v>
      </c>
    </row>
    <row r="16" spans="1:4" x14ac:dyDescent="0.2">
      <c r="A16" t="s">
        <v>43</v>
      </c>
      <c r="B16" s="6">
        <v>1001</v>
      </c>
      <c r="C16" s="1">
        <v>45622</v>
      </c>
      <c r="D16" s="1">
        <v>45719</v>
      </c>
    </row>
    <row r="17" spans="1:4" x14ac:dyDescent="0.2">
      <c r="A17" t="s">
        <v>33</v>
      </c>
      <c r="B17" s="6">
        <v>1010</v>
      </c>
      <c r="C17" s="1">
        <v>45377</v>
      </c>
      <c r="D17" s="1">
        <v>45886</v>
      </c>
    </row>
    <row r="18" spans="1:4" x14ac:dyDescent="0.2">
      <c r="A18" t="s">
        <v>33</v>
      </c>
      <c r="B18" s="6">
        <v>1002</v>
      </c>
      <c r="C18" s="1">
        <v>45519</v>
      </c>
    </row>
    <row r="19" spans="1:4" x14ac:dyDescent="0.2">
      <c r="A19" t="s">
        <v>25</v>
      </c>
      <c r="B19" s="6">
        <v>1010</v>
      </c>
      <c r="C19" s="1">
        <v>45866</v>
      </c>
    </row>
    <row r="20" spans="1:4" x14ac:dyDescent="0.2">
      <c r="A20" t="s">
        <v>25</v>
      </c>
      <c r="B20" s="6">
        <v>1002</v>
      </c>
      <c r="C20" s="1">
        <v>45799</v>
      </c>
      <c r="D20" s="1">
        <v>45808</v>
      </c>
    </row>
    <row r="21" spans="1:4" x14ac:dyDescent="0.2">
      <c r="A21" t="s">
        <v>25</v>
      </c>
      <c r="B21" s="6">
        <v>1003</v>
      </c>
      <c r="C21" s="1">
        <v>45330</v>
      </c>
      <c r="D21" s="1">
        <v>45817</v>
      </c>
    </row>
    <row r="22" spans="1:4" x14ac:dyDescent="0.2">
      <c r="A22" t="s">
        <v>25</v>
      </c>
      <c r="B22" s="6">
        <v>1007</v>
      </c>
      <c r="C22" s="1">
        <v>45795</v>
      </c>
      <c r="D22" s="1">
        <v>45846</v>
      </c>
    </row>
    <row r="23" spans="1:4" x14ac:dyDescent="0.2">
      <c r="A23" t="s">
        <v>25</v>
      </c>
      <c r="B23" s="6">
        <v>1010</v>
      </c>
      <c r="C23" s="1">
        <v>45808</v>
      </c>
      <c r="D23" s="1">
        <v>45932</v>
      </c>
    </row>
    <row r="24" spans="1:4" x14ac:dyDescent="0.2">
      <c r="A24" t="s">
        <v>35</v>
      </c>
      <c r="B24" s="6">
        <v>1011</v>
      </c>
      <c r="C24" s="1">
        <v>45568</v>
      </c>
      <c r="D24" s="1">
        <v>45623</v>
      </c>
    </row>
    <row r="25" spans="1:4" x14ac:dyDescent="0.2">
      <c r="A25" t="s">
        <v>23</v>
      </c>
      <c r="B25" s="6">
        <v>1008</v>
      </c>
      <c r="C25" s="1">
        <v>45930</v>
      </c>
      <c r="D25" s="1">
        <v>45935</v>
      </c>
    </row>
    <row r="26" spans="1:4" x14ac:dyDescent="0.2">
      <c r="A26" t="s">
        <v>34</v>
      </c>
      <c r="B26" s="6">
        <v>1002</v>
      </c>
      <c r="C26" s="1">
        <v>45899</v>
      </c>
      <c r="D26" s="1">
        <v>45930</v>
      </c>
    </row>
    <row r="27" spans="1:4" x14ac:dyDescent="0.2">
      <c r="A27" t="s">
        <v>34</v>
      </c>
      <c r="B27" s="6">
        <v>1002</v>
      </c>
      <c r="C27" s="1">
        <v>45493</v>
      </c>
      <c r="D27" s="1">
        <v>45663</v>
      </c>
    </row>
    <row r="28" spans="1:4" x14ac:dyDescent="0.2">
      <c r="A28" t="s">
        <v>24</v>
      </c>
      <c r="B28" s="6">
        <v>1005</v>
      </c>
      <c r="C28" s="1">
        <v>45743</v>
      </c>
      <c r="D28" s="1">
        <v>45868</v>
      </c>
    </row>
    <row r="29" spans="1:4" x14ac:dyDescent="0.2">
      <c r="A29" t="s">
        <v>24</v>
      </c>
      <c r="B29" s="6">
        <v>1008</v>
      </c>
      <c r="C29" s="1">
        <v>45375</v>
      </c>
    </row>
    <row r="30" spans="1:4" x14ac:dyDescent="0.2">
      <c r="A30" t="s">
        <v>41</v>
      </c>
      <c r="B30" s="6">
        <v>1005</v>
      </c>
      <c r="C30" s="1">
        <v>45675</v>
      </c>
    </row>
    <row r="31" spans="1:4" x14ac:dyDescent="0.2">
      <c r="A31" t="s">
        <v>37</v>
      </c>
      <c r="B31" s="6">
        <v>1004</v>
      </c>
      <c r="C31" s="1">
        <v>45403</v>
      </c>
      <c r="D31" s="1">
        <v>45839</v>
      </c>
    </row>
    <row r="32" spans="1:4" x14ac:dyDescent="0.2">
      <c r="A32" t="s">
        <v>30</v>
      </c>
      <c r="B32" s="6">
        <v>1004</v>
      </c>
      <c r="C32" s="1">
        <v>45523</v>
      </c>
    </row>
    <row r="33" spans="1:4" x14ac:dyDescent="0.2">
      <c r="A33" t="s">
        <v>30</v>
      </c>
      <c r="B33" s="6">
        <v>1006</v>
      </c>
      <c r="C33" s="1">
        <v>45630</v>
      </c>
      <c r="D33" s="1">
        <v>45732</v>
      </c>
    </row>
    <row r="34" spans="1:4" x14ac:dyDescent="0.2">
      <c r="A34" t="s">
        <v>30</v>
      </c>
      <c r="B34" s="6">
        <v>1003</v>
      </c>
      <c r="C34" s="1">
        <v>45595</v>
      </c>
      <c r="D34" s="1">
        <v>45630</v>
      </c>
    </row>
    <row r="35" spans="1:4" x14ac:dyDescent="0.2">
      <c r="A35" t="s">
        <v>32</v>
      </c>
      <c r="B35" s="6">
        <v>1002</v>
      </c>
      <c r="C35" s="1">
        <v>45921</v>
      </c>
      <c r="D35" s="1">
        <v>45934</v>
      </c>
    </row>
    <row r="36" spans="1:4" x14ac:dyDescent="0.2">
      <c r="A36" t="s">
        <v>38</v>
      </c>
      <c r="B36" s="6">
        <v>1012</v>
      </c>
      <c r="C36" s="1">
        <v>45792</v>
      </c>
      <c r="D36" s="1">
        <v>45905</v>
      </c>
    </row>
    <row r="37" spans="1:4" x14ac:dyDescent="0.2">
      <c r="A37" t="s">
        <v>38</v>
      </c>
      <c r="B37" s="6">
        <v>1005</v>
      </c>
      <c r="C37" s="1">
        <v>45261</v>
      </c>
      <c r="D37" s="1">
        <v>45559</v>
      </c>
    </row>
    <row r="38" spans="1:4" x14ac:dyDescent="0.2">
      <c r="A38" t="s">
        <v>36</v>
      </c>
      <c r="B38" s="6">
        <v>1004</v>
      </c>
      <c r="C38" s="1">
        <v>45320</v>
      </c>
    </row>
    <row r="39" spans="1:4" x14ac:dyDescent="0.2">
      <c r="A39" t="s">
        <v>36</v>
      </c>
      <c r="B39" s="6">
        <v>1004</v>
      </c>
      <c r="C39" s="1">
        <v>45336</v>
      </c>
    </row>
    <row r="40" spans="1:4" x14ac:dyDescent="0.2">
      <c r="A40" t="s">
        <v>42</v>
      </c>
      <c r="B40" s="6">
        <v>1003</v>
      </c>
      <c r="C40" s="1">
        <v>45508</v>
      </c>
      <c r="D40" s="1">
        <v>45871</v>
      </c>
    </row>
    <row r="41" spans="1:4" x14ac:dyDescent="0.2">
      <c r="A41" t="s">
        <v>44</v>
      </c>
      <c r="B41" s="6">
        <v>1009</v>
      </c>
      <c r="C41" s="1">
        <v>45740</v>
      </c>
      <c r="D41" s="1">
        <v>45784</v>
      </c>
    </row>
    <row r="42" spans="1:4" x14ac:dyDescent="0.2">
      <c r="A42" t="s">
        <v>44</v>
      </c>
      <c r="B42" s="6">
        <v>1002</v>
      </c>
      <c r="C42" s="1">
        <v>45741</v>
      </c>
    </row>
    <row r="43" spans="1:4" x14ac:dyDescent="0.2">
      <c r="A43" t="s">
        <v>22</v>
      </c>
      <c r="B43" s="6">
        <v>1009</v>
      </c>
      <c r="C43" s="1">
        <v>45421</v>
      </c>
    </row>
    <row r="44" spans="1:4" x14ac:dyDescent="0.2">
      <c r="A44" t="s">
        <v>22</v>
      </c>
      <c r="B44" s="6">
        <v>1003</v>
      </c>
      <c r="C44" s="1">
        <v>45417</v>
      </c>
    </row>
    <row r="45" spans="1:4" x14ac:dyDescent="0.2">
      <c r="A45" t="s">
        <v>22</v>
      </c>
      <c r="B45" s="6">
        <v>1001</v>
      </c>
      <c r="C45" s="1">
        <v>45297</v>
      </c>
    </row>
    <row r="46" spans="1:4" x14ac:dyDescent="0.2">
      <c r="A46" t="s">
        <v>22</v>
      </c>
      <c r="B46" s="6">
        <v>1001</v>
      </c>
      <c r="C46" s="1">
        <v>45641</v>
      </c>
    </row>
  </sheetData>
  <autoFilter ref="A1:D46" xr:uid="{1E876F64-F7CB-4A45-8653-58F2C68324A6}">
    <sortState xmlns:xlrd2="http://schemas.microsoft.com/office/spreadsheetml/2017/richdata2" ref="A2:D46">
      <sortCondition ref="A1:A4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CF092-E428-6440-83D4-7734DC44A118}">
  <dimension ref="A1:F36"/>
  <sheetViews>
    <sheetView zoomScale="150" workbookViewId="0">
      <selection activeCell="B1" sqref="B1:F1"/>
    </sheetView>
  </sheetViews>
  <sheetFormatPr baseColWidth="10" defaultRowHeight="16" x14ac:dyDescent="0.2"/>
  <cols>
    <col min="1" max="1" width="14.5" bestFit="1" customWidth="1"/>
    <col min="2" max="2" width="11" bestFit="1" customWidth="1"/>
    <col min="3" max="3" width="14.5" bestFit="1" customWidth="1"/>
    <col min="4" max="4" width="9.83203125" bestFit="1" customWidth="1"/>
    <col min="5" max="5" width="14" style="2" bestFit="1" customWidth="1"/>
    <col min="6" max="6" width="9.6640625" bestFit="1" customWidth="1"/>
  </cols>
  <sheetData>
    <row r="1" spans="1:6" x14ac:dyDescent="0.2">
      <c r="A1" s="4" t="s">
        <v>83</v>
      </c>
      <c r="B1" s="4" t="s">
        <v>85</v>
      </c>
      <c r="C1" s="4" t="s">
        <v>45</v>
      </c>
      <c r="D1" t="s">
        <v>46</v>
      </c>
      <c r="E1" s="2" t="s">
        <v>47</v>
      </c>
      <c r="F1" t="s">
        <v>3</v>
      </c>
    </row>
    <row r="2" spans="1:6" x14ac:dyDescent="0.2">
      <c r="A2" s="4" t="s">
        <v>48</v>
      </c>
      <c r="B2" s="4" t="s">
        <v>49</v>
      </c>
      <c r="C2" s="4" t="s">
        <v>50</v>
      </c>
      <c r="D2" s="1">
        <v>44937</v>
      </c>
      <c r="E2">
        <v>1342.83</v>
      </c>
      <c r="F2" t="s">
        <v>6</v>
      </c>
    </row>
    <row r="3" spans="1:6" x14ac:dyDescent="0.2">
      <c r="A3" s="4" t="s">
        <v>51</v>
      </c>
      <c r="B3" s="4" t="s">
        <v>49</v>
      </c>
      <c r="C3" s="4" t="s">
        <v>52</v>
      </c>
      <c r="D3" s="1">
        <v>44250</v>
      </c>
      <c r="E3">
        <v>1076.18</v>
      </c>
      <c r="F3" s="5" t="s">
        <v>82</v>
      </c>
    </row>
    <row r="4" spans="1:6" x14ac:dyDescent="0.2">
      <c r="A4" s="4" t="s">
        <v>53</v>
      </c>
      <c r="B4" s="4" t="s">
        <v>49</v>
      </c>
      <c r="C4" s="4" t="s">
        <v>54</v>
      </c>
      <c r="D4" s="1">
        <v>45543</v>
      </c>
      <c r="E4">
        <v>1931.54</v>
      </c>
      <c r="F4" s="5" t="s">
        <v>82</v>
      </c>
    </row>
    <row r="5" spans="1:6" x14ac:dyDescent="0.2">
      <c r="A5" s="4" t="s">
        <v>40</v>
      </c>
      <c r="B5" s="4" t="s">
        <v>55</v>
      </c>
      <c r="C5" s="4" t="s">
        <v>56</v>
      </c>
      <c r="D5" s="1">
        <v>45782</v>
      </c>
      <c r="E5" s="2">
        <v>1007.88</v>
      </c>
      <c r="F5" s="5" t="s">
        <v>82</v>
      </c>
    </row>
    <row r="6" spans="1:6" x14ac:dyDescent="0.2">
      <c r="A6" s="4" t="s">
        <v>27</v>
      </c>
      <c r="B6" s="4" t="s">
        <v>57</v>
      </c>
      <c r="C6" s="4" t="s">
        <v>58</v>
      </c>
      <c r="D6" s="1">
        <v>44503</v>
      </c>
      <c r="E6">
        <v>823.23</v>
      </c>
      <c r="F6" t="s">
        <v>6</v>
      </c>
    </row>
    <row r="7" spans="1:6" x14ac:dyDescent="0.2">
      <c r="A7" s="4" t="s">
        <v>26</v>
      </c>
      <c r="B7" s="4" t="s">
        <v>59</v>
      </c>
      <c r="C7" s="4" t="s">
        <v>60</v>
      </c>
      <c r="D7" s="1">
        <v>45292</v>
      </c>
      <c r="E7">
        <v>1257.96</v>
      </c>
      <c r="F7" s="5" t="s">
        <v>82</v>
      </c>
    </row>
    <row r="8" spans="1:6" x14ac:dyDescent="0.2">
      <c r="A8" s="4" t="s">
        <v>39</v>
      </c>
      <c r="B8" s="4" t="s">
        <v>55</v>
      </c>
      <c r="C8" s="4" t="s">
        <v>61</v>
      </c>
      <c r="D8" s="1">
        <v>44360</v>
      </c>
      <c r="E8">
        <v>869.09</v>
      </c>
      <c r="F8" t="s">
        <v>10</v>
      </c>
    </row>
    <row r="9" spans="1:6" x14ac:dyDescent="0.2">
      <c r="A9" s="4" t="s">
        <v>62</v>
      </c>
      <c r="B9" s="4" t="s">
        <v>63</v>
      </c>
      <c r="C9" s="4" t="s">
        <v>64</v>
      </c>
      <c r="D9" s="1">
        <v>45831</v>
      </c>
      <c r="E9">
        <v>1323.76</v>
      </c>
      <c r="F9" t="s">
        <v>10</v>
      </c>
    </row>
    <row r="10" spans="1:6" x14ac:dyDescent="0.2">
      <c r="A10" s="4" t="s">
        <v>28</v>
      </c>
      <c r="B10" s="4" t="s">
        <v>55</v>
      </c>
      <c r="C10" s="4" t="s">
        <v>56</v>
      </c>
      <c r="D10" s="1">
        <v>45026</v>
      </c>
      <c r="E10">
        <v>1458.02</v>
      </c>
      <c r="F10" s="5" t="s">
        <v>82</v>
      </c>
    </row>
    <row r="11" spans="1:6" x14ac:dyDescent="0.2">
      <c r="A11" s="4" t="s">
        <v>65</v>
      </c>
      <c r="B11" s="4" t="s">
        <v>55</v>
      </c>
      <c r="C11" s="4" t="s">
        <v>56</v>
      </c>
      <c r="D11" s="1">
        <v>45239</v>
      </c>
      <c r="E11">
        <v>1786.37</v>
      </c>
      <c r="F11" s="5" t="s">
        <v>82</v>
      </c>
    </row>
    <row r="12" spans="1:6" x14ac:dyDescent="0.2">
      <c r="A12" s="4" t="s">
        <v>29</v>
      </c>
      <c r="B12" s="4" t="s">
        <v>57</v>
      </c>
      <c r="C12" s="4" t="s">
        <v>66</v>
      </c>
      <c r="D12" s="1">
        <v>45909</v>
      </c>
      <c r="E12">
        <v>1417.1</v>
      </c>
      <c r="F12" s="5" t="s">
        <v>82</v>
      </c>
    </row>
    <row r="13" spans="1:6" x14ac:dyDescent="0.2">
      <c r="A13" s="4" t="s">
        <v>67</v>
      </c>
      <c r="B13" s="4" t="s">
        <v>49</v>
      </c>
      <c r="C13" s="4" t="s">
        <v>50</v>
      </c>
      <c r="D13" s="1">
        <v>44713</v>
      </c>
      <c r="E13">
        <v>968.43</v>
      </c>
      <c r="F13" t="s">
        <v>10</v>
      </c>
    </row>
    <row r="14" spans="1:6" x14ac:dyDescent="0.2">
      <c r="A14" s="4" t="s">
        <v>31</v>
      </c>
      <c r="B14" s="4" t="s">
        <v>57</v>
      </c>
      <c r="C14" s="4" t="s">
        <v>58</v>
      </c>
      <c r="D14" s="1">
        <v>44332</v>
      </c>
      <c r="E14">
        <v>1898.65</v>
      </c>
      <c r="F14" t="s">
        <v>10</v>
      </c>
    </row>
    <row r="15" spans="1:6" x14ac:dyDescent="0.2">
      <c r="A15" s="4" t="s">
        <v>43</v>
      </c>
      <c r="B15" s="4" t="s">
        <v>55</v>
      </c>
      <c r="C15" s="4" t="s">
        <v>61</v>
      </c>
      <c r="D15" s="1">
        <v>44258</v>
      </c>
      <c r="E15">
        <v>1415.97</v>
      </c>
      <c r="F15" t="s">
        <v>10</v>
      </c>
    </row>
    <row r="16" spans="1:6" x14ac:dyDescent="0.2">
      <c r="A16" s="4" t="s">
        <v>33</v>
      </c>
      <c r="B16" s="4" t="s">
        <v>59</v>
      </c>
      <c r="C16" s="4" t="s">
        <v>68</v>
      </c>
      <c r="D16" s="1">
        <v>44824</v>
      </c>
      <c r="E16">
        <v>661.44</v>
      </c>
      <c r="F16" s="5" t="s">
        <v>82</v>
      </c>
    </row>
    <row r="17" spans="1:6" x14ac:dyDescent="0.2">
      <c r="A17" s="4" t="s">
        <v>25</v>
      </c>
      <c r="B17" s="4" t="s">
        <v>57</v>
      </c>
      <c r="C17" s="4" t="s">
        <v>58</v>
      </c>
      <c r="D17" s="1">
        <v>45015</v>
      </c>
      <c r="E17">
        <v>1501.06</v>
      </c>
      <c r="F17" t="s">
        <v>6</v>
      </c>
    </row>
    <row r="18" spans="1:6" x14ac:dyDescent="0.2">
      <c r="A18" s="4" t="s">
        <v>69</v>
      </c>
      <c r="B18" s="4" t="s">
        <v>59</v>
      </c>
      <c r="C18" s="4" t="s">
        <v>60</v>
      </c>
      <c r="D18" s="1">
        <v>44363</v>
      </c>
      <c r="E18">
        <v>1748.56</v>
      </c>
      <c r="F18" t="s">
        <v>6</v>
      </c>
    </row>
    <row r="19" spans="1:6" x14ac:dyDescent="0.2">
      <c r="A19" s="4" t="s">
        <v>35</v>
      </c>
      <c r="B19" s="4" t="s">
        <v>49</v>
      </c>
      <c r="C19" s="4" t="s">
        <v>54</v>
      </c>
      <c r="D19" s="1">
        <v>44839</v>
      </c>
      <c r="E19">
        <v>1688.07</v>
      </c>
      <c r="F19" s="5" t="s">
        <v>82</v>
      </c>
    </row>
    <row r="20" spans="1:6" x14ac:dyDescent="0.2">
      <c r="A20" s="4" t="s">
        <v>70</v>
      </c>
      <c r="B20" s="4" t="s">
        <v>57</v>
      </c>
      <c r="C20" s="4" t="s">
        <v>71</v>
      </c>
      <c r="D20" s="1">
        <v>44429</v>
      </c>
      <c r="E20">
        <v>737.57</v>
      </c>
      <c r="F20" t="s">
        <v>10</v>
      </c>
    </row>
    <row r="21" spans="1:6" x14ac:dyDescent="0.2">
      <c r="A21" s="4" t="s">
        <v>72</v>
      </c>
      <c r="B21" s="4" t="s">
        <v>59</v>
      </c>
      <c r="C21" s="4" t="s">
        <v>60</v>
      </c>
      <c r="D21" s="1">
        <v>45297</v>
      </c>
      <c r="E21">
        <v>740.2</v>
      </c>
      <c r="F21" s="5" t="s">
        <v>82</v>
      </c>
    </row>
    <row r="22" spans="1:6" x14ac:dyDescent="0.2">
      <c r="A22" s="4" t="s">
        <v>23</v>
      </c>
      <c r="B22" s="4" t="s">
        <v>73</v>
      </c>
      <c r="C22" s="4" t="s">
        <v>74</v>
      </c>
      <c r="D22" s="1">
        <v>44979</v>
      </c>
      <c r="E22">
        <v>1134.1600000000001</v>
      </c>
      <c r="F22" s="5" t="s">
        <v>82</v>
      </c>
    </row>
    <row r="23" spans="1:6" x14ac:dyDescent="0.2">
      <c r="A23" s="4" t="s">
        <v>34</v>
      </c>
      <c r="B23" s="4" t="s">
        <v>49</v>
      </c>
      <c r="C23" s="4" t="s">
        <v>54</v>
      </c>
      <c r="D23" s="1">
        <v>45524</v>
      </c>
      <c r="E23">
        <v>1591.98</v>
      </c>
      <c r="F23" t="s">
        <v>10</v>
      </c>
    </row>
    <row r="24" spans="1:6" x14ac:dyDescent="0.2">
      <c r="A24" s="4" t="s">
        <v>75</v>
      </c>
      <c r="B24" s="4" t="s">
        <v>57</v>
      </c>
      <c r="C24" s="4" t="s">
        <v>58</v>
      </c>
      <c r="D24" s="1">
        <v>45249</v>
      </c>
      <c r="E24">
        <v>1335.34</v>
      </c>
      <c r="F24" t="s">
        <v>10</v>
      </c>
    </row>
    <row r="25" spans="1:6" x14ac:dyDescent="0.2">
      <c r="A25" s="4" t="s">
        <v>24</v>
      </c>
      <c r="B25" s="4" t="s">
        <v>73</v>
      </c>
      <c r="C25" s="4" t="s">
        <v>76</v>
      </c>
      <c r="D25" s="1">
        <v>44621</v>
      </c>
      <c r="E25">
        <v>750.91</v>
      </c>
      <c r="F25" t="s">
        <v>6</v>
      </c>
    </row>
    <row r="26" spans="1:6" x14ac:dyDescent="0.2">
      <c r="A26" s="4" t="s">
        <v>41</v>
      </c>
      <c r="B26" s="4" t="s">
        <v>63</v>
      </c>
      <c r="C26" s="4" t="s">
        <v>64</v>
      </c>
      <c r="D26" s="1">
        <v>45266</v>
      </c>
      <c r="E26">
        <v>545.46</v>
      </c>
      <c r="F26" t="s">
        <v>6</v>
      </c>
    </row>
    <row r="27" spans="1:6" x14ac:dyDescent="0.2">
      <c r="A27" s="4" t="s">
        <v>77</v>
      </c>
      <c r="B27" s="4" t="s">
        <v>55</v>
      </c>
      <c r="C27" s="4" t="s">
        <v>56</v>
      </c>
      <c r="D27" s="1">
        <v>45219</v>
      </c>
      <c r="E27">
        <v>1403.91</v>
      </c>
      <c r="F27" t="s">
        <v>10</v>
      </c>
    </row>
    <row r="28" spans="1:6" x14ac:dyDescent="0.2">
      <c r="A28" s="4" t="s">
        <v>37</v>
      </c>
      <c r="B28" s="4" t="s">
        <v>73</v>
      </c>
      <c r="C28" s="4" t="s">
        <v>74</v>
      </c>
      <c r="D28" s="1">
        <v>44766</v>
      </c>
      <c r="E28">
        <v>501.64</v>
      </c>
      <c r="F28" s="5" t="s">
        <v>82</v>
      </c>
    </row>
    <row r="29" spans="1:6" x14ac:dyDescent="0.2">
      <c r="A29" s="4" t="s">
        <v>30</v>
      </c>
      <c r="B29" s="4" t="s">
        <v>63</v>
      </c>
      <c r="C29" s="4" t="s">
        <v>64</v>
      </c>
      <c r="D29" s="1">
        <v>44945</v>
      </c>
      <c r="E29">
        <v>1246.58</v>
      </c>
      <c r="F29" t="s">
        <v>10</v>
      </c>
    </row>
    <row r="30" spans="1:6" x14ac:dyDescent="0.2">
      <c r="A30" s="4" t="s">
        <v>32</v>
      </c>
      <c r="B30" s="4" t="s">
        <v>55</v>
      </c>
      <c r="C30" s="4" t="s">
        <v>61</v>
      </c>
      <c r="D30" s="1">
        <v>44337</v>
      </c>
      <c r="E30">
        <v>1553.15</v>
      </c>
      <c r="F30" t="s">
        <v>10</v>
      </c>
    </row>
    <row r="31" spans="1:6" x14ac:dyDescent="0.2">
      <c r="A31" s="4" t="s">
        <v>38</v>
      </c>
      <c r="B31" s="4" t="s">
        <v>63</v>
      </c>
      <c r="C31" s="4" t="s">
        <v>64</v>
      </c>
      <c r="D31" s="1">
        <v>44647</v>
      </c>
      <c r="E31">
        <v>1629.76</v>
      </c>
      <c r="F31" s="5" t="s">
        <v>82</v>
      </c>
    </row>
    <row r="32" spans="1:6" x14ac:dyDescent="0.2">
      <c r="A32" s="4" t="s">
        <v>36</v>
      </c>
      <c r="B32" s="4" t="s">
        <v>55</v>
      </c>
      <c r="C32" s="4" t="s">
        <v>78</v>
      </c>
      <c r="D32" s="1">
        <v>45775</v>
      </c>
      <c r="E32">
        <v>1095.6199999999999</v>
      </c>
      <c r="F32" s="5" t="s">
        <v>82</v>
      </c>
    </row>
    <row r="33" spans="1:6" x14ac:dyDescent="0.2">
      <c r="A33" s="4" t="s">
        <v>42</v>
      </c>
      <c r="B33" s="4" t="s">
        <v>55</v>
      </c>
      <c r="C33" s="4" t="s">
        <v>61</v>
      </c>
      <c r="D33" s="1">
        <v>44876</v>
      </c>
      <c r="E33">
        <v>1801.36</v>
      </c>
      <c r="F33" s="5" t="s">
        <v>82</v>
      </c>
    </row>
    <row r="34" spans="1:6" x14ac:dyDescent="0.2">
      <c r="A34" s="4" t="s">
        <v>44</v>
      </c>
      <c r="B34" s="4" t="s">
        <v>63</v>
      </c>
      <c r="C34" s="4" t="s">
        <v>79</v>
      </c>
      <c r="D34" s="1">
        <v>44623</v>
      </c>
      <c r="E34">
        <v>1212.29</v>
      </c>
      <c r="F34" t="s">
        <v>6</v>
      </c>
    </row>
    <row r="35" spans="1:6" x14ac:dyDescent="0.2">
      <c r="A35" s="4" t="s">
        <v>80</v>
      </c>
      <c r="B35" s="4" t="s">
        <v>59</v>
      </c>
      <c r="C35" s="4" t="s">
        <v>60</v>
      </c>
      <c r="D35" s="1">
        <v>45552</v>
      </c>
      <c r="E35">
        <v>1746.67</v>
      </c>
      <c r="F35" t="s">
        <v>10</v>
      </c>
    </row>
    <row r="36" spans="1:6" x14ac:dyDescent="0.2">
      <c r="A36" s="4" t="s">
        <v>22</v>
      </c>
      <c r="B36" s="4" t="s">
        <v>63</v>
      </c>
      <c r="C36" s="4" t="s">
        <v>79</v>
      </c>
      <c r="D36" s="1">
        <v>45294</v>
      </c>
      <c r="E36">
        <v>644.54</v>
      </c>
      <c r="F36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E15E1-C2FB-6642-8365-755408DB77AF}">
  <dimension ref="A1:L46"/>
  <sheetViews>
    <sheetView zoomScale="131" workbookViewId="0">
      <selection activeCell="C10" sqref="C10"/>
    </sheetView>
  </sheetViews>
  <sheetFormatPr baseColWidth="10" defaultRowHeight="16" x14ac:dyDescent="0.2"/>
  <cols>
    <col min="1" max="1" width="14.5" bestFit="1" customWidth="1"/>
    <col min="2" max="2" width="12.83203125" bestFit="1" customWidth="1"/>
    <col min="3" max="3" width="10.6640625" bestFit="1" customWidth="1"/>
    <col min="4" max="4" width="13" bestFit="1" customWidth="1"/>
    <col min="10" max="10" width="23.83203125" customWidth="1"/>
  </cols>
  <sheetData>
    <row r="1" spans="1:12" x14ac:dyDescent="0.2">
      <c r="A1" t="s">
        <v>83</v>
      </c>
      <c r="B1" t="s">
        <v>0</v>
      </c>
      <c r="C1" t="s">
        <v>21</v>
      </c>
      <c r="D1" t="s">
        <v>84</v>
      </c>
      <c r="E1" s="4" t="s">
        <v>85</v>
      </c>
      <c r="F1" s="4" t="s">
        <v>45</v>
      </c>
      <c r="G1" t="s">
        <v>46</v>
      </c>
      <c r="H1" s="2" t="s">
        <v>47</v>
      </c>
      <c r="I1" t="s">
        <v>3</v>
      </c>
      <c r="J1" t="s">
        <v>1</v>
      </c>
      <c r="K1" t="s">
        <v>2</v>
      </c>
      <c r="L1" t="s">
        <v>3</v>
      </c>
    </row>
    <row r="2" spans="1:12" x14ac:dyDescent="0.2">
      <c r="A2" t="s">
        <v>40</v>
      </c>
      <c r="B2" s="6">
        <v>1003</v>
      </c>
      <c r="C2" s="1">
        <v>45827</v>
      </c>
      <c r="D2" s="1">
        <v>45908</v>
      </c>
      <c r="E2" t="str" cm="1">
        <f t="array" ref="E2:I2">_xlfn.XLOOKUP(A2,Geraete!A:A,Geraete!B:F,"not found",0,1)</f>
        <v>Laptop</v>
      </c>
      <c r="F2" t="str">
        <v>Dell XPS</v>
      </c>
      <c r="G2">
        <v>45782</v>
      </c>
      <c r="H2">
        <v>1007.88</v>
      </c>
      <c r="I2" t="str">
        <v>München</v>
      </c>
      <c r="J2" t="str" cm="1">
        <f t="array" ref="J2:L2">_xlfn.XLOOKUP(GesamtMitDuplikaten!B2,Mitarbeiter!A:A,Mitarbeiter!B:D,"not found",0,1)</f>
        <v>Paul Dobes-Stiffel</v>
      </c>
      <c r="K2" t="str">
        <v>Produktion</v>
      </c>
      <c r="L2" t="str">
        <v>Hamburg</v>
      </c>
    </row>
    <row r="3" spans="1:12" x14ac:dyDescent="0.2">
      <c r="A3" t="s">
        <v>40</v>
      </c>
      <c r="B3" s="6">
        <v>1001</v>
      </c>
      <c r="C3" s="1">
        <v>45880</v>
      </c>
      <c r="D3" s="1">
        <v>45881</v>
      </c>
      <c r="E3" t="str" cm="1">
        <f t="array" ref="E3:I3">_xlfn.XLOOKUP(A3,Geraete!A:A,Geraete!B:F,"not found",0,1)</f>
        <v>Laptop</v>
      </c>
      <c r="F3" t="str">
        <v>Dell XPS</v>
      </c>
      <c r="G3">
        <v>45782</v>
      </c>
      <c r="H3">
        <v>1007.88</v>
      </c>
      <c r="I3" t="str">
        <v>München</v>
      </c>
      <c r="J3" t="str" cm="1">
        <f t="array" ref="J3:L3">_xlfn.XLOOKUP(GesamtMitDuplikaten!B3,Mitarbeiter!A:A,Mitarbeiter!B:D,"not found",0,1)</f>
        <v>Aleksandr Weinhage</v>
      </c>
      <c r="K3" t="str">
        <v>IT</v>
      </c>
      <c r="L3" t="str">
        <v>Berlin</v>
      </c>
    </row>
    <row r="4" spans="1:12" x14ac:dyDescent="0.2">
      <c r="A4" t="s">
        <v>27</v>
      </c>
      <c r="B4" s="6">
        <v>1009</v>
      </c>
      <c r="C4" s="1">
        <v>45389</v>
      </c>
      <c r="E4" t="str" cm="1">
        <f t="array" ref="E4:I4">_xlfn.XLOOKUP(A4,Geraete!A:A,Geraete!B:F,"not found",0,1)</f>
        <v>Drucker</v>
      </c>
      <c r="F4" t="str">
        <v>Canon Pixma</v>
      </c>
      <c r="G4">
        <v>44503</v>
      </c>
      <c r="H4">
        <v>823.23</v>
      </c>
      <c r="I4" t="str">
        <v>Berlin</v>
      </c>
      <c r="J4" t="str" cm="1">
        <f t="array" ref="J4:L4">_xlfn.XLOOKUP(GesamtMitDuplikaten!B4,Mitarbeiter!A:A,Mitarbeiter!B:D,"not found",0,1)</f>
        <v>Univ.Prof. Heimo Karge</v>
      </c>
      <c r="K4" t="str">
        <v>Marketing</v>
      </c>
      <c r="L4" t="str">
        <v>Hamburg</v>
      </c>
    </row>
    <row r="5" spans="1:12" x14ac:dyDescent="0.2">
      <c r="A5" t="s">
        <v>27</v>
      </c>
      <c r="B5" s="6">
        <v>1006</v>
      </c>
      <c r="C5" s="1">
        <v>45892</v>
      </c>
      <c r="D5" s="1">
        <v>45922</v>
      </c>
      <c r="E5" t="str" cm="1">
        <f t="array" ref="E5:I5">_xlfn.XLOOKUP(A5,Geraete!A:A,Geraete!B:F,"not found",0,1)</f>
        <v>Drucker</v>
      </c>
      <c r="F5" t="str">
        <v>Canon Pixma</v>
      </c>
      <c r="G5">
        <v>44503</v>
      </c>
      <c r="H5">
        <v>823.23</v>
      </c>
      <c r="I5" t="str">
        <v>Berlin</v>
      </c>
      <c r="J5" t="str" cm="1">
        <f t="array" ref="J5:L5">_xlfn.XLOOKUP(GesamtMitDuplikaten!B5,Mitarbeiter!A:A,Mitarbeiter!B:D,"not found",0,1)</f>
        <v>Eric Patberg B.Sc.</v>
      </c>
      <c r="K5" t="str">
        <v>Vertrieb</v>
      </c>
      <c r="L5" t="str">
        <v>Hamburg</v>
      </c>
    </row>
    <row r="6" spans="1:12" x14ac:dyDescent="0.2">
      <c r="A6" t="s">
        <v>27</v>
      </c>
      <c r="B6" s="6">
        <v>1012</v>
      </c>
      <c r="C6" s="1">
        <v>45599</v>
      </c>
      <c r="E6" t="str" cm="1">
        <f t="array" ref="E6:I6">_xlfn.XLOOKUP(A6,Geraete!A:A,Geraete!B:F,"not found",0,1)</f>
        <v>Drucker</v>
      </c>
      <c r="F6" t="str">
        <v>Canon Pixma</v>
      </c>
      <c r="G6">
        <v>44503</v>
      </c>
      <c r="H6">
        <v>823.23</v>
      </c>
      <c r="I6" t="str">
        <v>Berlin</v>
      </c>
      <c r="J6" t="str" cm="1">
        <f t="array" ref="J6:L6">_xlfn.XLOOKUP(GesamtMitDuplikaten!B6,Mitarbeiter!A:A,Mitarbeiter!B:D,"not found",0,1)</f>
        <v>Ariane Klemt-Kaul</v>
      </c>
      <c r="K6" t="str">
        <v>IT</v>
      </c>
      <c r="L6" t="str">
        <v>München</v>
      </c>
    </row>
    <row r="7" spans="1:12" x14ac:dyDescent="0.2">
      <c r="A7" t="s">
        <v>27</v>
      </c>
      <c r="B7" s="6">
        <v>1010</v>
      </c>
      <c r="C7" s="1">
        <v>45899</v>
      </c>
      <c r="D7" s="1">
        <v>45925</v>
      </c>
      <c r="E7" t="str" cm="1">
        <f t="array" ref="E7:I7">_xlfn.XLOOKUP(A7,Geraete!A:A,Geraete!B:F,"not found",0,1)</f>
        <v>Drucker</v>
      </c>
      <c r="F7" t="str">
        <v>Canon Pixma</v>
      </c>
      <c r="G7">
        <v>44503</v>
      </c>
      <c r="H7">
        <v>823.23</v>
      </c>
      <c r="I7" t="str">
        <v>Berlin</v>
      </c>
      <c r="J7" t="str" cm="1">
        <f t="array" ref="J7:L7">_xlfn.XLOOKUP(GesamtMitDuplikaten!B7,Mitarbeiter!A:A,Mitarbeiter!B:D,"not found",0,1)</f>
        <v>Carolin Hande</v>
      </c>
      <c r="K7" t="str">
        <v>IT</v>
      </c>
      <c r="L7" t="str">
        <v>Hamburg</v>
      </c>
    </row>
    <row r="8" spans="1:12" x14ac:dyDescent="0.2">
      <c r="A8" t="s">
        <v>26</v>
      </c>
      <c r="B8" s="6">
        <v>1012</v>
      </c>
      <c r="C8" s="1">
        <v>45808</v>
      </c>
      <c r="D8" s="1">
        <v>45818</v>
      </c>
      <c r="E8" t="str" cm="1">
        <f t="array" ref="E8:I8">_xlfn.XLOOKUP(A8,Geraete!A:A,Geraete!B:F,"not found",0,1)</f>
        <v>Smartphone</v>
      </c>
      <c r="F8" t="str">
        <v>Samsung S21</v>
      </c>
      <c r="G8">
        <v>45292</v>
      </c>
      <c r="H8">
        <v>1257.96</v>
      </c>
      <c r="I8" t="str">
        <v>München</v>
      </c>
      <c r="J8" t="str" cm="1">
        <f t="array" ref="J8:L8">_xlfn.XLOOKUP(GesamtMitDuplikaten!B8,Mitarbeiter!A:A,Mitarbeiter!B:D,"not found",0,1)</f>
        <v>Ariane Klemt-Kaul</v>
      </c>
      <c r="K8" t="str">
        <v>IT</v>
      </c>
      <c r="L8" t="str">
        <v>München</v>
      </c>
    </row>
    <row r="9" spans="1:12" x14ac:dyDescent="0.2">
      <c r="A9" t="s">
        <v>26</v>
      </c>
      <c r="B9" s="6">
        <v>1007</v>
      </c>
      <c r="C9" s="1">
        <v>45476</v>
      </c>
      <c r="E9" t="str" cm="1">
        <f t="array" ref="E9:I9">_xlfn.XLOOKUP(A9,Geraete!A:A,Geraete!B:F,"not found",0,1)</f>
        <v>Smartphone</v>
      </c>
      <c r="F9" t="str">
        <v>Samsung S21</v>
      </c>
      <c r="G9">
        <v>45292</v>
      </c>
      <c r="H9">
        <v>1257.96</v>
      </c>
      <c r="I9" t="str">
        <v>München</v>
      </c>
      <c r="J9" t="str" cm="1">
        <f t="array" ref="J9:L9">_xlfn.XLOOKUP(GesamtMitDuplikaten!B9,Mitarbeiter!A:A,Mitarbeiter!B:D,"not found",0,1)</f>
        <v>Orhan Siering MBA.</v>
      </c>
      <c r="K9" t="str">
        <v>IT</v>
      </c>
      <c r="L9" t="str">
        <v>Berlin</v>
      </c>
    </row>
    <row r="10" spans="1:12" x14ac:dyDescent="0.2">
      <c r="A10" t="s">
        <v>39</v>
      </c>
      <c r="B10" s="6">
        <v>1001</v>
      </c>
      <c r="C10" s="1">
        <v>45544</v>
      </c>
      <c r="D10" s="1">
        <v>45854</v>
      </c>
      <c r="E10" t="str" cm="1">
        <f t="array" ref="E10:I10">_xlfn.XLOOKUP(A10,Geraete!A:A,Geraete!B:F,"not found",0,1)</f>
        <v>Laptop</v>
      </c>
      <c r="F10" t="str">
        <v>Lenovo ThinkPad</v>
      </c>
      <c r="G10">
        <v>44360</v>
      </c>
      <c r="H10">
        <v>869.09</v>
      </c>
      <c r="I10" t="str">
        <v>Hamburg</v>
      </c>
      <c r="J10" t="str" cm="1">
        <f t="array" ref="J10:L10">_xlfn.XLOOKUP(GesamtMitDuplikaten!B10,Mitarbeiter!A:A,Mitarbeiter!B:D,"not found",0,1)</f>
        <v>Aleksandr Weinhage</v>
      </c>
      <c r="K10" t="str">
        <v>IT</v>
      </c>
      <c r="L10" t="str">
        <v>Berlin</v>
      </c>
    </row>
    <row r="11" spans="1:12" x14ac:dyDescent="0.2">
      <c r="A11" t="s">
        <v>39</v>
      </c>
      <c r="B11" s="6">
        <v>1001</v>
      </c>
      <c r="C11" s="1">
        <v>45880</v>
      </c>
      <c r="E11" t="str" cm="1">
        <f t="array" ref="E11:I11">_xlfn.XLOOKUP(A11,Geraete!A:A,Geraete!B:F,"not found",0,1)</f>
        <v>Laptop</v>
      </c>
      <c r="F11" t="str">
        <v>Lenovo ThinkPad</v>
      </c>
      <c r="G11">
        <v>44360</v>
      </c>
      <c r="H11">
        <v>869.09</v>
      </c>
      <c r="I11" t="str">
        <v>Hamburg</v>
      </c>
      <c r="J11" t="str" cm="1">
        <f t="array" ref="J11:L11">_xlfn.XLOOKUP(GesamtMitDuplikaten!B11,Mitarbeiter!A:A,Mitarbeiter!B:D,"not found",0,1)</f>
        <v>Aleksandr Weinhage</v>
      </c>
      <c r="K11" t="str">
        <v>IT</v>
      </c>
      <c r="L11" t="str">
        <v>Berlin</v>
      </c>
    </row>
    <row r="12" spans="1:12" x14ac:dyDescent="0.2">
      <c r="A12" t="s">
        <v>28</v>
      </c>
      <c r="B12" s="6">
        <v>1011</v>
      </c>
      <c r="C12" s="1">
        <v>45850</v>
      </c>
      <c r="D12" s="1">
        <v>45853</v>
      </c>
      <c r="E12" t="str" cm="1">
        <f t="array" ref="E12:I12">_xlfn.XLOOKUP(A12,Geraete!A:A,Geraete!B:F,"not found",0,1)</f>
        <v>Laptop</v>
      </c>
      <c r="F12" t="str">
        <v>Dell XPS</v>
      </c>
      <c r="G12">
        <v>45026</v>
      </c>
      <c r="H12">
        <v>1458.02</v>
      </c>
      <c r="I12" t="str">
        <v>München</v>
      </c>
      <c r="J12" t="str" cm="1">
        <f t="array" ref="J12:L12">_xlfn.XLOOKUP(GesamtMitDuplikaten!B12,Mitarbeiter!A:A,Mitarbeiter!B:D,"not found",0,1)</f>
        <v>Auguste Davids</v>
      </c>
      <c r="K12" t="str">
        <v>IT</v>
      </c>
      <c r="L12" t="str">
        <v>Hamburg</v>
      </c>
    </row>
    <row r="13" spans="1:12" x14ac:dyDescent="0.2">
      <c r="A13" t="s">
        <v>29</v>
      </c>
      <c r="B13" s="6">
        <v>1005</v>
      </c>
      <c r="C13" s="1">
        <v>45837</v>
      </c>
      <c r="D13" s="1">
        <v>45898</v>
      </c>
      <c r="E13" t="str" cm="1">
        <f t="array" ref="E13:I13">_xlfn.XLOOKUP(A13,Geraete!A:A,Geraete!B:F,"not found",0,1)</f>
        <v>Drucker</v>
      </c>
      <c r="F13" t="str">
        <v>Brother HL</v>
      </c>
      <c r="G13">
        <v>45909</v>
      </c>
      <c r="H13">
        <v>1417.1</v>
      </c>
      <c r="I13" t="str">
        <v>München</v>
      </c>
      <c r="J13" t="str" cm="1">
        <f t="array" ref="J13:L13">_xlfn.XLOOKUP(GesamtMitDuplikaten!B13,Mitarbeiter!A:A,Mitarbeiter!B:D,"not found",0,1)</f>
        <v>Alexandre Davids</v>
      </c>
      <c r="K13" t="str">
        <v>Vertrieb</v>
      </c>
      <c r="L13" t="str">
        <v>Berlin</v>
      </c>
    </row>
    <row r="14" spans="1:12" x14ac:dyDescent="0.2">
      <c r="A14" t="s">
        <v>31</v>
      </c>
      <c r="B14" s="6">
        <v>1012</v>
      </c>
      <c r="C14" s="1">
        <v>45419</v>
      </c>
      <c r="D14" s="1">
        <v>45470</v>
      </c>
      <c r="E14" t="str" cm="1">
        <f t="array" ref="E14:I14">_xlfn.XLOOKUP(A14,Geraete!A:A,Geraete!B:F,"not found",0,1)</f>
        <v>Drucker</v>
      </c>
      <c r="F14" t="str">
        <v>Canon Pixma</v>
      </c>
      <c r="G14">
        <v>44332</v>
      </c>
      <c r="H14">
        <v>1898.65</v>
      </c>
      <c r="I14" t="str">
        <v>Hamburg</v>
      </c>
      <c r="J14" t="str" cm="1">
        <f t="array" ref="J14:L14">_xlfn.XLOOKUP(GesamtMitDuplikaten!B14,Mitarbeiter!A:A,Mitarbeiter!B:D,"not found",0,1)</f>
        <v>Ariane Klemt-Kaul</v>
      </c>
      <c r="K14" t="str">
        <v>IT</v>
      </c>
      <c r="L14" t="str">
        <v>München</v>
      </c>
    </row>
    <row r="15" spans="1:12" x14ac:dyDescent="0.2">
      <c r="A15" t="s">
        <v>31</v>
      </c>
      <c r="B15" s="6">
        <v>1009</v>
      </c>
      <c r="C15" s="1">
        <v>45319</v>
      </c>
      <c r="D15" s="1">
        <v>45714</v>
      </c>
      <c r="E15" t="str" cm="1">
        <f t="array" ref="E15:I15">_xlfn.XLOOKUP(A15,Geraete!A:A,Geraete!B:F,"not found",0,1)</f>
        <v>Drucker</v>
      </c>
      <c r="F15" t="str">
        <v>Canon Pixma</v>
      </c>
      <c r="G15">
        <v>44332</v>
      </c>
      <c r="H15">
        <v>1898.65</v>
      </c>
      <c r="I15" t="str">
        <v>Hamburg</v>
      </c>
      <c r="J15" t="str" cm="1">
        <f t="array" ref="J15:L15">_xlfn.XLOOKUP(GesamtMitDuplikaten!B15,Mitarbeiter!A:A,Mitarbeiter!B:D,"not found",0,1)</f>
        <v>Univ.Prof. Heimo Karge</v>
      </c>
      <c r="K15" t="str">
        <v>Marketing</v>
      </c>
      <c r="L15" t="str">
        <v>Hamburg</v>
      </c>
    </row>
    <row r="16" spans="1:12" x14ac:dyDescent="0.2">
      <c r="A16" t="s">
        <v>43</v>
      </c>
      <c r="B16" s="6">
        <v>1001</v>
      </c>
      <c r="C16" s="1">
        <v>45622</v>
      </c>
      <c r="D16" s="1">
        <v>45719</v>
      </c>
      <c r="E16" t="str" cm="1">
        <f t="array" ref="E16:I16">_xlfn.XLOOKUP(A16,Geraete!A:A,Geraete!B:F,"not found",0,1)</f>
        <v>Laptop</v>
      </c>
      <c r="F16" t="str">
        <v>Lenovo ThinkPad</v>
      </c>
      <c r="G16">
        <v>44258</v>
      </c>
      <c r="H16">
        <v>1415.97</v>
      </c>
      <c r="I16" t="str">
        <v>Hamburg</v>
      </c>
      <c r="J16" t="str" cm="1">
        <f t="array" ref="J16:L16">_xlfn.XLOOKUP(GesamtMitDuplikaten!B16,Mitarbeiter!A:A,Mitarbeiter!B:D,"not found",0,1)</f>
        <v>Aleksandr Weinhage</v>
      </c>
      <c r="K16" t="str">
        <v>IT</v>
      </c>
      <c r="L16" t="str">
        <v>Berlin</v>
      </c>
    </row>
    <row r="17" spans="1:12" x14ac:dyDescent="0.2">
      <c r="A17" t="s">
        <v>33</v>
      </c>
      <c r="B17" s="6">
        <v>1010</v>
      </c>
      <c r="C17" s="1">
        <v>45377</v>
      </c>
      <c r="D17" s="1">
        <v>45886</v>
      </c>
      <c r="E17" t="str" cm="1">
        <f t="array" ref="E17:I17">_xlfn.XLOOKUP(A17,Geraete!A:A,Geraete!B:F,"not found",0,1)</f>
        <v>Smartphone</v>
      </c>
      <c r="F17" t="str">
        <v>iPhone 13</v>
      </c>
      <c r="G17">
        <v>44824</v>
      </c>
      <c r="H17">
        <v>661.44</v>
      </c>
      <c r="I17" t="str">
        <v>München</v>
      </c>
      <c r="J17" t="str" cm="1">
        <f t="array" ref="J17:L17">_xlfn.XLOOKUP(GesamtMitDuplikaten!B17,Mitarbeiter!A:A,Mitarbeiter!B:D,"not found",0,1)</f>
        <v>Carolin Hande</v>
      </c>
      <c r="K17" t="str">
        <v>IT</v>
      </c>
      <c r="L17" t="str">
        <v>Hamburg</v>
      </c>
    </row>
    <row r="18" spans="1:12" x14ac:dyDescent="0.2">
      <c r="A18" t="s">
        <v>33</v>
      </c>
      <c r="B18" s="6">
        <v>1002</v>
      </c>
      <c r="C18" s="1">
        <v>45519</v>
      </c>
      <c r="E18" t="str" cm="1">
        <f t="array" ref="E18:I18">_xlfn.XLOOKUP(A18,Geraete!A:A,Geraete!B:F,"not found",0,1)</f>
        <v>Smartphone</v>
      </c>
      <c r="F18" t="str">
        <v>iPhone 13</v>
      </c>
      <c r="G18">
        <v>44824</v>
      </c>
      <c r="H18">
        <v>661.44</v>
      </c>
      <c r="I18" t="str">
        <v>München</v>
      </c>
      <c r="J18" t="str" cm="1">
        <f t="array" ref="J18:L18">_xlfn.XLOOKUP(GesamtMitDuplikaten!B18,Mitarbeiter!A:A,Mitarbeiter!B:D,"not found",0,1)</f>
        <v>Eleni Hauffer</v>
      </c>
      <c r="K18" t="str">
        <v>IT</v>
      </c>
      <c r="L18" t="str">
        <v>Berlin</v>
      </c>
    </row>
    <row r="19" spans="1:12" x14ac:dyDescent="0.2">
      <c r="A19" t="s">
        <v>25</v>
      </c>
      <c r="B19" s="6">
        <v>1010</v>
      </c>
      <c r="C19" s="1">
        <v>45866</v>
      </c>
      <c r="E19" t="str" cm="1">
        <f t="array" ref="E19:I19">_xlfn.XLOOKUP(A19,Geraete!A:A,Geraete!B:F,"not found",0,1)</f>
        <v>Drucker</v>
      </c>
      <c r="F19" t="str">
        <v>Canon Pixma</v>
      </c>
      <c r="G19">
        <v>45015</v>
      </c>
      <c r="H19">
        <v>1501.06</v>
      </c>
      <c r="I19" t="str">
        <v>Berlin</v>
      </c>
      <c r="J19" t="str" cm="1">
        <f t="array" ref="J19:L19">_xlfn.XLOOKUP(GesamtMitDuplikaten!B19,Mitarbeiter!A:A,Mitarbeiter!B:D,"not found",0,1)</f>
        <v>Carolin Hande</v>
      </c>
      <c r="K19" t="str">
        <v>IT</v>
      </c>
      <c r="L19" t="str">
        <v>Hamburg</v>
      </c>
    </row>
    <row r="20" spans="1:12" x14ac:dyDescent="0.2">
      <c r="A20" t="s">
        <v>25</v>
      </c>
      <c r="B20" s="6">
        <v>1002</v>
      </c>
      <c r="C20" s="1">
        <v>45799</v>
      </c>
      <c r="D20" s="1">
        <v>45808</v>
      </c>
      <c r="E20" t="str" cm="1">
        <f t="array" ref="E20:I20">_xlfn.XLOOKUP(A20,Geraete!A:A,Geraete!B:F,"not found",0,1)</f>
        <v>Drucker</v>
      </c>
      <c r="F20" t="str">
        <v>Canon Pixma</v>
      </c>
      <c r="G20">
        <v>45015</v>
      </c>
      <c r="H20">
        <v>1501.06</v>
      </c>
      <c r="I20" t="str">
        <v>Berlin</v>
      </c>
      <c r="J20" t="str" cm="1">
        <f t="array" ref="J20:L20">_xlfn.XLOOKUP(GesamtMitDuplikaten!B20,Mitarbeiter!A:A,Mitarbeiter!B:D,"not found",0,1)</f>
        <v>Eleni Hauffer</v>
      </c>
      <c r="K20" t="str">
        <v>IT</v>
      </c>
      <c r="L20" t="str">
        <v>Berlin</v>
      </c>
    </row>
    <row r="21" spans="1:12" x14ac:dyDescent="0.2">
      <c r="A21" t="s">
        <v>25</v>
      </c>
      <c r="B21" s="6">
        <v>1003</v>
      </c>
      <c r="C21" s="1">
        <v>45330</v>
      </c>
      <c r="D21" s="1">
        <v>45817</v>
      </c>
      <c r="E21" t="str" cm="1">
        <f t="array" ref="E21:I21">_xlfn.XLOOKUP(A21,Geraete!A:A,Geraete!B:F,"not found",0,1)</f>
        <v>Drucker</v>
      </c>
      <c r="F21" t="str">
        <v>Canon Pixma</v>
      </c>
      <c r="G21">
        <v>45015</v>
      </c>
      <c r="H21">
        <v>1501.06</v>
      </c>
      <c r="I21" t="str">
        <v>Berlin</v>
      </c>
      <c r="J21" t="str" cm="1">
        <f t="array" ref="J21:L21">_xlfn.XLOOKUP(GesamtMitDuplikaten!B21,Mitarbeiter!A:A,Mitarbeiter!B:D,"not found",0,1)</f>
        <v>Paul Dobes-Stiffel</v>
      </c>
      <c r="K21" t="str">
        <v>Produktion</v>
      </c>
      <c r="L21" t="str">
        <v>Hamburg</v>
      </c>
    </row>
    <row r="22" spans="1:12" x14ac:dyDescent="0.2">
      <c r="A22" t="s">
        <v>25</v>
      </c>
      <c r="B22" s="6">
        <v>1007</v>
      </c>
      <c r="C22" s="1">
        <v>45795</v>
      </c>
      <c r="D22" s="1">
        <v>45846</v>
      </c>
      <c r="E22" t="str" cm="1">
        <f t="array" ref="E22:I22">_xlfn.XLOOKUP(A22,Geraete!A:A,Geraete!B:F,"not found",0,1)</f>
        <v>Drucker</v>
      </c>
      <c r="F22" t="str">
        <v>Canon Pixma</v>
      </c>
      <c r="G22">
        <v>45015</v>
      </c>
      <c r="H22">
        <v>1501.06</v>
      </c>
      <c r="I22" t="str">
        <v>Berlin</v>
      </c>
      <c r="J22" t="str" cm="1">
        <f t="array" ref="J22:L22">_xlfn.XLOOKUP(GesamtMitDuplikaten!B22,Mitarbeiter!A:A,Mitarbeiter!B:D,"not found",0,1)</f>
        <v>Orhan Siering MBA.</v>
      </c>
      <c r="K22" t="str">
        <v>IT</v>
      </c>
      <c r="L22" t="str">
        <v>Berlin</v>
      </c>
    </row>
    <row r="23" spans="1:12" x14ac:dyDescent="0.2">
      <c r="A23" t="s">
        <v>25</v>
      </c>
      <c r="B23" s="6">
        <v>1010</v>
      </c>
      <c r="C23" s="1">
        <v>45808</v>
      </c>
      <c r="D23" s="1">
        <v>45932</v>
      </c>
      <c r="E23" t="str" cm="1">
        <f t="array" ref="E23:I23">_xlfn.XLOOKUP(A23,Geraete!A:A,Geraete!B:F,"not found",0,1)</f>
        <v>Drucker</v>
      </c>
      <c r="F23" t="str">
        <v>Canon Pixma</v>
      </c>
      <c r="G23">
        <v>45015</v>
      </c>
      <c r="H23">
        <v>1501.06</v>
      </c>
      <c r="I23" t="str">
        <v>Berlin</v>
      </c>
      <c r="J23" t="str" cm="1">
        <f t="array" ref="J23:L23">_xlfn.XLOOKUP(GesamtMitDuplikaten!B23,Mitarbeiter!A:A,Mitarbeiter!B:D,"not found",0,1)</f>
        <v>Carolin Hande</v>
      </c>
      <c r="K23" t="str">
        <v>IT</v>
      </c>
      <c r="L23" t="str">
        <v>Hamburg</v>
      </c>
    </row>
    <row r="24" spans="1:12" x14ac:dyDescent="0.2">
      <c r="A24" t="s">
        <v>35</v>
      </c>
      <c r="B24" s="6">
        <v>1011</v>
      </c>
      <c r="C24" s="1">
        <v>45568</v>
      </c>
      <c r="D24" s="1">
        <v>45623</v>
      </c>
      <c r="E24" t="str" cm="1">
        <f t="array" ref="E24:I24">_xlfn.XLOOKUP(A24,Geraete!A:A,Geraete!B:F,"not found",0,1)</f>
        <v>Tablet</v>
      </c>
      <c r="F24" t="str">
        <v>iPad</v>
      </c>
      <c r="G24">
        <v>44839</v>
      </c>
      <c r="H24">
        <v>1688.07</v>
      </c>
      <c r="I24" t="str">
        <v>München</v>
      </c>
      <c r="J24" t="str" cm="1">
        <f t="array" ref="J24:L24">_xlfn.XLOOKUP(GesamtMitDuplikaten!B24,Mitarbeiter!A:A,Mitarbeiter!B:D,"not found",0,1)</f>
        <v>Auguste Davids</v>
      </c>
      <c r="K24" t="str">
        <v>IT</v>
      </c>
      <c r="L24" t="str">
        <v>Hamburg</v>
      </c>
    </row>
    <row r="25" spans="1:12" x14ac:dyDescent="0.2">
      <c r="A25" t="s">
        <v>23</v>
      </c>
      <c r="B25" s="6">
        <v>1008</v>
      </c>
      <c r="C25" s="1">
        <v>45930</v>
      </c>
      <c r="D25" s="1">
        <v>45935</v>
      </c>
      <c r="E25" t="str" cm="1">
        <f t="array" ref="E25:I25">_xlfn.XLOOKUP(A25,Geraete!A:A,Geraete!B:F,"not found",0,1)</f>
        <v>Monitor</v>
      </c>
      <c r="F25" t="str">
        <v>Samsung Curved</v>
      </c>
      <c r="G25">
        <v>44979</v>
      </c>
      <c r="H25">
        <v>1134.1600000000001</v>
      </c>
      <c r="I25" t="str">
        <v>München</v>
      </c>
      <c r="J25" t="str" cm="1">
        <f t="array" ref="J25:L25">_xlfn.XLOOKUP(GesamtMitDuplikaten!B25,Mitarbeiter!A:A,Mitarbeiter!B:D,"not found",0,1)</f>
        <v>Dipl.-Ing. Klaus-Werner Holsten B.Sc.</v>
      </c>
      <c r="K25" t="str">
        <v>IT</v>
      </c>
      <c r="L25" t="str">
        <v>Hamburg</v>
      </c>
    </row>
    <row r="26" spans="1:12" x14ac:dyDescent="0.2">
      <c r="A26" t="s">
        <v>34</v>
      </c>
      <c r="B26" s="6">
        <v>1002</v>
      </c>
      <c r="C26" s="1">
        <v>45899</v>
      </c>
      <c r="D26" s="1">
        <v>45930</v>
      </c>
      <c r="E26" t="str" cm="1">
        <f t="array" ref="E26:I26">_xlfn.XLOOKUP(A26,Geraete!A:A,Geraete!B:F,"not found",0,1)</f>
        <v>Tablet</v>
      </c>
      <c r="F26" t="str">
        <v>iPad</v>
      </c>
      <c r="G26">
        <v>45524</v>
      </c>
      <c r="H26">
        <v>1591.98</v>
      </c>
      <c r="I26" t="str">
        <v>Hamburg</v>
      </c>
      <c r="J26" t="str" cm="1">
        <f t="array" ref="J26:L26">_xlfn.XLOOKUP(GesamtMitDuplikaten!B26,Mitarbeiter!A:A,Mitarbeiter!B:D,"not found",0,1)</f>
        <v>Eleni Hauffer</v>
      </c>
      <c r="K26" t="str">
        <v>IT</v>
      </c>
      <c r="L26" t="str">
        <v>Berlin</v>
      </c>
    </row>
    <row r="27" spans="1:12" x14ac:dyDescent="0.2">
      <c r="A27" t="s">
        <v>34</v>
      </c>
      <c r="B27" s="6">
        <v>1002</v>
      </c>
      <c r="C27" s="1">
        <v>45493</v>
      </c>
      <c r="D27" s="1">
        <v>45663</v>
      </c>
      <c r="E27" t="str" cm="1">
        <f t="array" ref="E27:I27">_xlfn.XLOOKUP(A27,Geraete!A:A,Geraete!B:F,"not found",0,1)</f>
        <v>Tablet</v>
      </c>
      <c r="F27" t="str">
        <v>iPad</v>
      </c>
      <c r="G27">
        <v>45524</v>
      </c>
      <c r="H27">
        <v>1591.98</v>
      </c>
      <c r="I27" t="str">
        <v>Hamburg</v>
      </c>
      <c r="J27" t="str" cm="1">
        <f t="array" ref="J27:L27">_xlfn.XLOOKUP(GesamtMitDuplikaten!B27,Mitarbeiter!A:A,Mitarbeiter!B:D,"not found",0,1)</f>
        <v>Eleni Hauffer</v>
      </c>
      <c r="K27" t="str">
        <v>IT</v>
      </c>
      <c r="L27" t="str">
        <v>Berlin</v>
      </c>
    </row>
    <row r="28" spans="1:12" x14ac:dyDescent="0.2">
      <c r="A28" t="s">
        <v>24</v>
      </c>
      <c r="B28" s="6">
        <v>1005</v>
      </c>
      <c r="C28" s="1">
        <v>45743</v>
      </c>
      <c r="D28" s="1">
        <v>45868</v>
      </c>
      <c r="E28" t="str" cm="1">
        <f t="array" ref="E28:I28">_xlfn.XLOOKUP(A28,Geraete!A:A,Geraete!B:F,"not found",0,1)</f>
        <v>Monitor</v>
      </c>
      <c r="F28" t="str">
        <v>Dell UltraSharp</v>
      </c>
      <c r="G28">
        <v>44621</v>
      </c>
      <c r="H28">
        <v>750.91</v>
      </c>
      <c r="I28" t="str">
        <v>Berlin</v>
      </c>
      <c r="J28" t="str" cm="1">
        <f t="array" ref="J28:L28">_xlfn.XLOOKUP(GesamtMitDuplikaten!B28,Mitarbeiter!A:A,Mitarbeiter!B:D,"not found",0,1)</f>
        <v>Alexandre Davids</v>
      </c>
      <c r="K28" t="str">
        <v>Vertrieb</v>
      </c>
      <c r="L28" t="str">
        <v>Berlin</v>
      </c>
    </row>
    <row r="29" spans="1:12" x14ac:dyDescent="0.2">
      <c r="A29" t="s">
        <v>24</v>
      </c>
      <c r="B29" s="6">
        <v>1008</v>
      </c>
      <c r="C29" s="1">
        <v>45375</v>
      </c>
      <c r="E29" t="str" cm="1">
        <f t="array" ref="E29:I29">_xlfn.XLOOKUP(A29,Geraete!A:A,Geraete!B:F,"not found",0,1)</f>
        <v>Monitor</v>
      </c>
      <c r="F29" t="str">
        <v>Dell UltraSharp</v>
      </c>
      <c r="G29">
        <v>44621</v>
      </c>
      <c r="H29">
        <v>750.91</v>
      </c>
      <c r="I29" t="str">
        <v>Berlin</v>
      </c>
      <c r="J29" t="str" cm="1">
        <f t="array" ref="J29:L29">_xlfn.XLOOKUP(GesamtMitDuplikaten!B29,Mitarbeiter!A:A,Mitarbeiter!B:D,"not found",0,1)</f>
        <v>Dipl.-Ing. Klaus-Werner Holsten B.Sc.</v>
      </c>
      <c r="K29" t="str">
        <v>IT</v>
      </c>
      <c r="L29" t="str">
        <v>Hamburg</v>
      </c>
    </row>
    <row r="30" spans="1:12" x14ac:dyDescent="0.2">
      <c r="A30" t="s">
        <v>41</v>
      </c>
      <c r="B30" s="6">
        <v>1005</v>
      </c>
      <c r="C30" s="1">
        <v>45675</v>
      </c>
      <c r="E30" t="str" cm="1">
        <f t="array" ref="E30:I30">_xlfn.XLOOKUP(A30,Geraete!A:A,Geraete!B:F,"not found",0,1)</f>
        <v>Beamer</v>
      </c>
      <c r="F30" t="str">
        <v>Epson EB</v>
      </c>
      <c r="G30">
        <v>45266</v>
      </c>
      <c r="H30">
        <v>545.46</v>
      </c>
      <c r="I30" t="str">
        <v>Berlin</v>
      </c>
      <c r="J30" t="str" cm="1">
        <f t="array" ref="J30:L30">_xlfn.XLOOKUP(GesamtMitDuplikaten!B30,Mitarbeiter!A:A,Mitarbeiter!B:D,"not found",0,1)</f>
        <v>Alexandre Davids</v>
      </c>
      <c r="K30" t="str">
        <v>Vertrieb</v>
      </c>
      <c r="L30" t="str">
        <v>Berlin</v>
      </c>
    </row>
    <row r="31" spans="1:12" x14ac:dyDescent="0.2">
      <c r="A31" t="s">
        <v>37</v>
      </c>
      <c r="B31" s="6">
        <v>1004</v>
      </c>
      <c r="C31" s="1">
        <v>45403</v>
      </c>
      <c r="D31" s="1">
        <v>45839</v>
      </c>
      <c r="E31" t="str" cm="1">
        <f t="array" ref="E31:I31">_xlfn.XLOOKUP(A31,Geraete!A:A,Geraete!B:F,"not found",0,1)</f>
        <v>Monitor</v>
      </c>
      <c r="F31" t="str">
        <v>Samsung Curved</v>
      </c>
      <c r="G31">
        <v>44766</v>
      </c>
      <c r="H31">
        <v>501.64</v>
      </c>
      <c r="I31" t="str">
        <v>München</v>
      </c>
      <c r="J31" t="str" cm="1">
        <f t="array" ref="J31:L31">_xlfn.XLOOKUP(GesamtMitDuplikaten!B31,Mitarbeiter!A:A,Mitarbeiter!B:D,"not found",0,1)</f>
        <v>Klemens Löffler</v>
      </c>
      <c r="K31" t="str">
        <v>Vertrieb</v>
      </c>
      <c r="L31" t="str">
        <v>Hamburg</v>
      </c>
    </row>
    <row r="32" spans="1:12" x14ac:dyDescent="0.2">
      <c r="A32" t="s">
        <v>30</v>
      </c>
      <c r="B32" s="6">
        <v>1004</v>
      </c>
      <c r="C32" s="1">
        <v>45523</v>
      </c>
      <c r="E32" t="str" cm="1">
        <f t="array" ref="E32:I32">_xlfn.XLOOKUP(A32,Geraete!A:A,Geraete!B:F,"not found",0,1)</f>
        <v>Beamer</v>
      </c>
      <c r="F32" t="str">
        <v>Epson EB</v>
      </c>
      <c r="G32">
        <v>44945</v>
      </c>
      <c r="H32">
        <v>1246.58</v>
      </c>
      <c r="I32" t="str">
        <v>Hamburg</v>
      </c>
      <c r="J32" t="str" cm="1">
        <f t="array" ref="J32:L32">_xlfn.XLOOKUP(GesamtMitDuplikaten!B32,Mitarbeiter!A:A,Mitarbeiter!B:D,"not found",0,1)</f>
        <v>Klemens Löffler</v>
      </c>
      <c r="K32" t="str">
        <v>Vertrieb</v>
      </c>
      <c r="L32" t="str">
        <v>Hamburg</v>
      </c>
    </row>
    <row r="33" spans="1:12" x14ac:dyDescent="0.2">
      <c r="A33" t="s">
        <v>30</v>
      </c>
      <c r="B33" s="6">
        <v>1006</v>
      </c>
      <c r="C33" s="1">
        <v>45630</v>
      </c>
      <c r="D33" s="1">
        <v>45732</v>
      </c>
      <c r="E33" t="str" cm="1">
        <f t="array" ref="E33:I33">_xlfn.XLOOKUP(A33,Geraete!A:A,Geraete!B:F,"not found",0,1)</f>
        <v>Beamer</v>
      </c>
      <c r="F33" t="str">
        <v>Epson EB</v>
      </c>
      <c r="G33">
        <v>44945</v>
      </c>
      <c r="H33">
        <v>1246.58</v>
      </c>
      <c r="I33" t="str">
        <v>Hamburg</v>
      </c>
      <c r="J33" t="str" cm="1">
        <f t="array" ref="J33:L33">_xlfn.XLOOKUP(GesamtMitDuplikaten!B33,Mitarbeiter!A:A,Mitarbeiter!B:D,"not found",0,1)</f>
        <v>Eric Patberg B.Sc.</v>
      </c>
      <c r="K33" t="str">
        <v>Vertrieb</v>
      </c>
      <c r="L33" t="str">
        <v>Hamburg</v>
      </c>
    </row>
    <row r="34" spans="1:12" x14ac:dyDescent="0.2">
      <c r="A34" t="s">
        <v>30</v>
      </c>
      <c r="B34" s="6">
        <v>1003</v>
      </c>
      <c r="C34" s="1">
        <v>45595</v>
      </c>
      <c r="D34" s="1">
        <v>45630</v>
      </c>
      <c r="E34" t="str" cm="1">
        <f t="array" ref="E34:I34">_xlfn.XLOOKUP(A34,Geraete!A:A,Geraete!B:F,"not found",0,1)</f>
        <v>Beamer</v>
      </c>
      <c r="F34" t="str">
        <v>Epson EB</v>
      </c>
      <c r="G34">
        <v>44945</v>
      </c>
      <c r="H34">
        <v>1246.58</v>
      </c>
      <c r="I34" t="str">
        <v>Hamburg</v>
      </c>
      <c r="J34" t="str" cm="1">
        <f t="array" ref="J34:L34">_xlfn.XLOOKUP(GesamtMitDuplikaten!B34,Mitarbeiter!A:A,Mitarbeiter!B:D,"not found",0,1)</f>
        <v>Paul Dobes-Stiffel</v>
      </c>
      <c r="K34" t="str">
        <v>Produktion</v>
      </c>
      <c r="L34" t="str">
        <v>Hamburg</v>
      </c>
    </row>
    <row r="35" spans="1:12" x14ac:dyDescent="0.2">
      <c r="A35" t="s">
        <v>32</v>
      </c>
      <c r="B35" s="6">
        <v>1002</v>
      </c>
      <c r="C35" s="1">
        <v>45921</v>
      </c>
      <c r="D35" s="1">
        <v>45934</v>
      </c>
      <c r="E35" t="str" cm="1">
        <f t="array" ref="E35:I35">_xlfn.XLOOKUP(A35,Geraete!A:A,Geraete!B:F,"not found",0,1)</f>
        <v>Laptop</v>
      </c>
      <c r="F35" t="str">
        <v>Lenovo ThinkPad</v>
      </c>
      <c r="G35">
        <v>44337</v>
      </c>
      <c r="H35">
        <v>1553.15</v>
      </c>
      <c r="I35" t="str">
        <v>Hamburg</v>
      </c>
      <c r="J35" t="str" cm="1">
        <f t="array" ref="J35:L35">_xlfn.XLOOKUP(GesamtMitDuplikaten!B35,Mitarbeiter!A:A,Mitarbeiter!B:D,"not found",0,1)</f>
        <v>Eleni Hauffer</v>
      </c>
      <c r="K35" t="str">
        <v>IT</v>
      </c>
      <c r="L35" t="str">
        <v>Berlin</v>
      </c>
    </row>
    <row r="36" spans="1:12" x14ac:dyDescent="0.2">
      <c r="A36" t="s">
        <v>38</v>
      </c>
      <c r="B36" s="6">
        <v>1012</v>
      </c>
      <c r="C36" s="1">
        <v>45792</v>
      </c>
      <c r="D36" s="1">
        <v>45905</v>
      </c>
      <c r="E36" t="str" cm="1">
        <f t="array" ref="E36:I36">_xlfn.XLOOKUP(A36,Geraete!A:A,Geraete!B:F,"not found",0,1)</f>
        <v>Beamer</v>
      </c>
      <c r="F36" t="str">
        <v>Epson EB</v>
      </c>
      <c r="G36">
        <v>44647</v>
      </c>
      <c r="H36">
        <v>1629.76</v>
      </c>
      <c r="I36" t="str">
        <v>München</v>
      </c>
      <c r="J36" t="str" cm="1">
        <f t="array" ref="J36:L36">_xlfn.XLOOKUP(GesamtMitDuplikaten!B36,Mitarbeiter!A:A,Mitarbeiter!B:D,"not found",0,1)</f>
        <v>Ariane Klemt-Kaul</v>
      </c>
      <c r="K36" t="str">
        <v>IT</v>
      </c>
      <c r="L36" t="str">
        <v>München</v>
      </c>
    </row>
    <row r="37" spans="1:12" x14ac:dyDescent="0.2">
      <c r="A37" t="s">
        <v>38</v>
      </c>
      <c r="B37" s="6">
        <v>1005</v>
      </c>
      <c r="C37" s="1">
        <v>45261</v>
      </c>
      <c r="D37" s="1">
        <v>45559</v>
      </c>
      <c r="E37" t="str" cm="1">
        <f t="array" ref="E37:I37">_xlfn.XLOOKUP(A37,Geraete!A:A,Geraete!B:F,"not found",0,1)</f>
        <v>Beamer</v>
      </c>
      <c r="F37" t="str">
        <v>Epson EB</v>
      </c>
      <c r="G37">
        <v>44647</v>
      </c>
      <c r="H37">
        <v>1629.76</v>
      </c>
      <c r="I37" t="str">
        <v>München</v>
      </c>
      <c r="J37" t="str" cm="1">
        <f t="array" ref="J37:L37">_xlfn.XLOOKUP(GesamtMitDuplikaten!B37,Mitarbeiter!A:A,Mitarbeiter!B:D,"not found",0,1)</f>
        <v>Alexandre Davids</v>
      </c>
      <c r="K37" t="str">
        <v>Vertrieb</v>
      </c>
      <c r="L37" t="str">
        <v>Berlin</v>
      </c>
    </row>
    <row r="38" spans="1:12" x14ac:dyDescent="0.2">
      <c r="A38" t="s">
        <v>36</v>
      </c>
      <c r="B38" s="6">
        <v>1004</v>
      </c>
      <c r="C38" s="1">
        <v>45320</v>
      </c>
      <c r="E38" t="str" cm="1">
        <f t="array" ref="E38:I38">_xlfn.XLOOKUP(A38,Geraete!A:A,Geraete!B:F,"not found",0,1)</f>
        <v>Laptop</v>
      </c>
      <c r="F38" t="str">
        <v>HP EliteBook</v>
      </c>
      <c r="G38">
        <v>45775</v>
      </c>
      <c r="H38">
        <v>1095.6199999999999</v>
      </c>
      <c r="I38" t="str">
        <v>München</v>
      </c>
      <c r="J38" t="str" cm="1">
        <f t="array" ref="J38:L38">_xlfn.XLOOKUP(GesamtMitDuplikaten!B38,Mitarbeiter!A:A,Mitarbeiter!B:D,"not found",0,1)</f>
        <v>Klemens Löffler</v>
      </c>
      <c r="K38" t="str">
        <v>Vertrieb</v>
      </c>
      <c r="L38" t="str">
        <v>Hamburg</v>
      </c>
    </row>
    <row r="39" spans="1:12" x14ac:dyDescent="0.2">
      <c r="A39" t="s">
        <v>36</v>
      </c>
      <c r="B39" s="6">
        <v>1004</v>
      </c>
      <c r="C39" s="1">
        <v>45336</v>
      </c>
      <c r="E39" t="str" cm="1">
        <f t="array" ref="E39:I39">_xlfn.XLOOKUP(A39,Geraete!A:A,Geraete!B:F,"not found",0,1)</f>
        <v>Laptop</v>
      </c>
      <c r="F39" t="str">
        <v>HP EliteBook</v>
      </c>
      <c r="G39">
        <v>45775</v>
      </c>
      <c r="H39">
        <v>1095.6199999999999</v>
      </c>
      <c r="I39" t="str">
        <v>München</v>
      </c>
      <c r="J39" t="str" cm="1">
        <f t="array" ref="J39:L39">_xlfn.XLOOKUP(GesamtMitDuplikaten!B39,Mitarbeiter!A:A,Mitarbeiter!B:D,"not found",0,1)</f>
        <v>Klemens Löffler</v>
      </c>
      <c r="K39" t="str">
        <v>Vertrieb</v>
      </c>
      <c r="L39" t="str">
        <v>Hamburg</v>
      </c>
    </row>
    <row r="40" spans="1:12" x14ac:dyDescent="0.2">
      <c r="A40" t="s">
        <v>42</v>
      </c>
      <c r="B40" s="6">
        <v>1003</v>
      </c>
      <c r="C40" s="1">
        <v>45508</v>
      </c>
      <c r="D40" s="1">
        <v>45871</v>
      </c>
      <c r="E40" t="str" cm="1">
        <f t="array" ref="E40:I40">_xlfn.XLOOKUP(A40,Geraete!A:A,Geraete!B:F,"not found",0,1)</f>
        <v>Laptop</v>
      </c>
      <c r="F40" t="str">
        <v>Lenovo ThinkPad</v>
      </c>
      <c r="G40">
        <v>44876</v>
      </c>
      <c r="H40">
        <v>1801.36</v>
      </c>
      <c r="I40" t="str">
        <v>München</v>
      </c>
      <c r="J40" t="str" cm="1">
        <f t="array" ref="J40:L40">_xlfn.XLOOKUP(GesamtMitDuplikaten!B40,Mitarbeiter!A:A,Mitarbeiter!B:D,"not found",0,1)</f>
        <v>Paul Dobes-Stiffel</v>
      </c>
      <c r="K40" t="str">
        <v>Produktion</v>
      </c>
      <c r="L40" t="str">
        <v>Hamburg</v>
      </c>
    </row>
    <row r="41" spans="1:12" x14ac:dyDescent="0.2">
      <c r="A41" t="s">
        <v>44</v>
      </c>
      <c r="B41" s="6">
        <v>1009</v>
      </c>
      <c r="C41" s="1">
        <v>45740</v>
      </c>
      <c r="D41" s="1">
        <v>45784</v>
      </c>
      <c r="E41" t="str" cm="1">
        <f t="array" ref="E41:I41">_xlfn.XLOOKUP(A41,Geraete!A:A,Geraete!B:F,"not found",0,1)</f>
        <v>Beamer</v>
      </c>
      <c r="F41" t="str">
        <v>BenQ MW550</v>
      </c>
      <c r="G41">
        <v>44623</v>
      </c>
      <c r="H41">
        <v>1212.29</v>
      </c>
      <c r="I41" t="str">
        <v>Berlin</v>
      </c>
      <c r="J41" t="str" cm="1">
        <f t="array" ref="J41:L41">_xlfn.XLOOKUP(GesamtMitDuplikaten!B41,Mitarbeiter!A:A,Mitarbeiter!B:D,"not found",0,1)</f>
        <v>Univ.Prof. Heimo Karge</v>
      </c>
      <c r="K41" t="str">
        <v>Marketing</v>
      </c>
      <c r="L41" t="str">
        <v>Hamburg</v>
      </c>
    </row>
    <row r="42" spans="1:12" x14ac:dyDescent="0.2">
      <c r="A42" t="s">
        <v>44</v>
      </c>
      <c r="B42" s="6">
        <v>1002</v>
      </c>
      <c r="C42" s="1">
        <v>45741</v>
      </c>
      <c r="E42" t="str" cm="1">
        <f t="array" ref="E42:I42">_xlfn.XLOOKUP(A42,Geraete!A:A,Geraete!B:F,"not found",0,1)</f>
        <v>Beamer</v>
      </c>
      <c r="F42" t="str">
        <v>BenQ MW550</v>
      </c>
      <c r="G42">
        <v>44623</v>
      </c>
      <c r="H42">
        <v>1212.29</v>
      </c>
      <c r="I42" t="str">
        <v>Berlin</v>
      </c>
      <c r="J42" t="str" cm="1">
        <f t="array" ref="J42:L42">_xlfn.XLOOKUP(GesamtMitDuplikaten!B42,Mitarbeiter!A:A,Mitarbeiter!B:D,"not found",0,1)</f>
        <v>Eleni Hauffer</v>
      </c>
      <c r="K42" t="str">
        <v>IT</v>
      </c>
      <c r="L42" t="str">
        <v>Berlin</v>
      </c>
    </row>
    <row r="43" spans="1:12" x14ac:dyDescent="0.2">
      <c r="A43" t="s">
        <v>22</v>
      </c>
      <c r="B43" s="6">
        <v>1009</v>
      </c>
      <c r="C43" s="1">
        <v>45421</v>
      </c>
      <c r="E43" t="str" cm="1">
        <f t="array" ref="E43:I43">_xlfn.XLOOKUP(A43,Geraete!A:A,Geraete!B:F,"not found",0,1)</f>
        <v>Beamer</v>
      </c>
      <c r="F43" t="str">
        <v>BenQ MW550</v>
      </c>
      <c r="G43">
        <v>45294</v>
      </c>
      <c r="H43">
        <v>644.54</v>
      </c>
      <c r="I43" t="str">
        <v>Berlin</v>
      </c>
      <c r="J43" t="str" cm="1">
        <f t="array" ref="J43:L43">_xlfn.XLOOKUP(GesamtMitDuplikaten!B43,Mitarbeiter!A:A,Mitarbeiter!B:D,"not found",0,1)</f>
        <v>Univ.Prof. Heimo Karge</v>
      </c>
      <c r="K43" t="str">
        <v>Marketing</v>
      </c>
      <c r="L43" t="str">
        <v>Hamburg</v>
      </c>
    </row>
    <row r="44" spans="1:12" x14ac:dyDescent="0.2">
      <c r="A44" t="s">
        <v>22</v>
      </c>
      <c r="B44" s="6">
        <v>1003</v>
      </c>
      <c r="C44" s="1">
        <v>45417</v>
      </c>
      <c r="E44" t="str" cm="1">
        <f t="array" ref="E44:I44">_xlfn.XLOOKUP(A44,Geraete!A:A,Geraete!B:F,"not found",0,1)</f>
        <v>Beamer</v>
      </c>
      <c r="F44" t="str">
        <v>BenQ MW550</v>
      </c>
      <c r="G44">
        <v>45294</v>
      </c>
      <c r="H44">
        <v>644.54</v>
      </c>
      <c r="I44" t="str">
        <v>Berlin</v>
      </c>
      <c r="J44" t="str" cm="1">
        <f t="array" ref="J44:L44">_xlfn.XLOOKUP(GesamtMitDuplikaten!B44,Mitarbeiter!A:A,Mitarbeiter!B:D,"not found",0,1)</f>
        <v>Paul Dobes-Stiffel</v>
      </c>
      <c r="K44" t="str">
        <v>Produktion</v>
      </c>
      <c r="L44" t="str">
        <v>Hamburg</v>
      </c>
    </row>
    <row r="45" spans="1:12" x14ac:dyDescent="0.2">
      <c r="A45" t="s">
        <v>22</v>
      </c>
      <c r="B45" s="6">
        <v>1001</v>
      </c>
      <c r="C45" s="1">
        <v>45297</v>
      </c>
      <c r="E45" t="str" cm="1">
        <f t="array" ref="E45:I45">_xlfn.XLOOKUP(A45,Geraete!A:A,Geraete!B:F,"not found",0,1)</f>
        <v>Beamer</v>
      </c>
      <c r="F45" t="str">
        <v>BenQ MW550</v>
      </c>
      <c r="G45">
        <v>45294</v>
      </c>
      <c r="H45">
        <v>644.54</v>
      </c>
      <c r="I45" t="str">
        <v>Berlin</v>
      </c>
      <c r="J45" t="str" cm="1">
        <f t="array" ref="J45:L45">_xlfn.XLOOKUP(GesamtMitDuplikaten!B45,Mitarbeiter!A:A,Mitarbeiter!B:D,"not found",0,1)</f>
        <v>Aleksandr Weinhage</v>
      </c>
      <c r="K45" t="str">
        <v>IT</v>
      </c>
      <c r="L45" t="str">
        <v>Berlin</v>
      </c>
    </row>
    <row r="46" spans="1:12" x14ac:dyDescent="0.2">
      <c r="A46" t="s">
        <v>22</v>
      </c>
      <c r="B46" s="6">
        <v>1001</v>
      </c>
      <c r="C46" s="1">
        <v>45641</v>
      </c>
      <c r="E46" t="str" cm="1">
        <f t="array" ref="E46:I46">_xlfn.XLOOKUP(A46,Geraete!A:A,Geraete!B:F,"not found",0,1)</f>
        <v>Beamer</v>
      </c>
      <c r="F46" t="str">
        <v>BenQ MW550</v>
      </c>
      <c r="G46">
        <v>45294</v>
      </c>
      <c r="H46">
        <v>644.54</v>
      </c>
      <c r="I46" t="str">
        <v>Berlin</v>
      </c>
      <c r="J46" t="str" cm="1">
        <f t="array" ref="J46:L46">_xlfn.XLOOKUP(GesamtMitDuplikaten!B46,Mitarbeiter!A:A,Mitarbeiter!B:D,"not found",0,1)</f>
        <v>Aleksandr Weinhage</v>
      </c>
      <c r="K46" t="str">
        <v>IT</v>
      </c>
      <c r="L46" t="str">
        <v>Berlin</v>
      </c>
    </row>
  </sheetData>
  <autoFilter ref="A1:L46" xr:uid="{609E15E1-C2FB-6642-8365-755408DB77A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A4BA-7FC4-8849-AEE2-91E48B576B15}">
  <dimension ref="A1:L24"/>
  <sheetViews>
    <sheetView tabSelected="1" zoomScale="139" workbookViewId="0">
      <selection activeCell="E23" sqref="E23"/>
    </sheetView>
  </sheetViews>
  <sheetFormatPr baseColWidth="10" defaultRowHeight="16" x14ac:dyDescent="0.2"/>
  <cols>
    <col min="1" max="1" width="14.5" bestFit="1" customWidth="1"/>
    <col min="2" max="2" width="12.83203125" bestFit="1" customWidth="1"/>
    <col min="3" max="3" width="10.6640625" bestFit="1" customWidth="1"/>
    <col min="4" max="4" width="13" bestFit="1" customWidth="1"/>
    <col min="6" max="6" width="17.6640625" customWidth="1"/>
    <col min="10" max="10" width="22.83203125" customWidth="1"/>
    <col min="13" max="13" width="14.33203125" customWidth="1"/>
  </cols>
  <sheetData>
    <row r="1" spans="1:12" x14ac:dyDescent="0.2">
      <c r="A1" t="s">
        <v>83</v>
      </c>
      <c r="B1" t="s">
        <v>0</v>
      </c>
      <c r="C1" t="s">
        <v>21</v>
      </c>
      <c r="D1" t="s">
        <v>84</v>
      </c>
      <c r="E1" s="4" t="s">
        <v>85</v>
      </c>
      <c r="F1" s="4" t="s">
        <v>45</v>
      </c>
      <c r="G1" t="s">
        <v>46</v>
      </c>
      <c r="H1" t="s">
        <v>47</v>
      </c>
      <c r="I1" t="s">
        <v>3</v>
      </c>
      <c r="J1" t="s">
        <v>86</v>
      </c>
      <c r="K1" t="s">
        <v>2</v>
      </c>
      <c r="L1" t="s">
        <v>3</v>
      </c>
    </row>
    <row r="2" spans="1:12" x14ac:dyDescent="0.2">
      <c r="A2" t="s">
        <v>40</v>
      </c>
      <c r="B2" s="6">
        <v>1003</v>
      </c>
      <c r="C2" s="1">
        <v>45827</v>
      </c>
      <c r="D2" s="1">
        <v>45908</v>
      </c>
      <c r="E2" s="4" t="str" cm="1">
        <f t="array" ref="E2:I2">_xlfn.XLOOKUP(Gesamt!$A2,Geraete!A:A,Geraete!B:F,"not found",0,1)</f>
        <v>Laptop</v>
      </c>
      <c r="F2" t="str">
        <v>Dell XPS</v>
      </c>
      <c r="G2" s="1">
        <v>45782</v>
      </c>
      <c r="H2" s="7">
        <v>1007.88</v>
      </c>
      <c r="I2" t="str">
        <v>München</v>
      </c>
      <c r="J2" t="str" cm="1">
        <f t="array" ref="J2:L2">_xlfn.XLOOKUP($B2,Mitarbeiter!A:A,Mitarbeiter!B:D,"not found",0,1)</f>
        <v>Paul Dobes-Stiffel</v>
      </c>
      <c r="K2" t="str">
        <v>Produktion</v>
      </c>
      <c r="L2" t="str">
        <v>Hamburg</v>
      </c>
    </row>
    <row r="3" spans="1:12" x14ac:dyDescent="0.2">
      <c r="A3" t="s">
        <v>27</v>
      </c>
      <c r="B3" s="6">
        <v>1009</v>
      </c>
      <c r="C3" s="1">
        <v>45389</v>
      </c>
      <c r="E3" s="4" t="str" cm="1">
        <f t="array" ref="E3:I3">_xlfn.XLOOKUP(Gesamt!$A3,Geraete!A:A,Geraete!B:F,"not found",0,1)</f>
        <v>Drucker</v>
      </c>
      <c r="F3" t="str">
        <v>Canon Pixma</v>
      </c>
      <c r="G3" s="1">
        <v>44503</v>
      </c>
      <c r="H3" s="7">
        <v>823.23</v>
      </c>
      <c r="I3" t="str">
        <v>Berlin</v>
      </c>
      <c r="J3" t="str" cm="1">
        <f t="array" ref="J3:L3">_xlfn.XLOOKUP($B3,Mitarbeiter!A:A,Mitarbeiter!B:D,"not found",0,1)</f>
        <v>Univ.Prof. Heimo Karge</v>
      </c>
      <c r="K3" t="str">
        <v>Marketing</v>
      </c>
      <c r="L3" t="str">
        <v>Hamburg</v>
      </c>
    </row>
    <row r="4" spans="1:12" x14ac:dyDescent="0.2">
      <c r="A4" t="s">
        <v>26</v>
      </c>
      <c r="B4" s="6">
        <v>1012</v>
      </c>
      <c r="C4" s="1">
        <v>45808</v>
      </c>
      <c r="D4" s="1">
        <v>45818</v>
      </c>
      <c r="E4" s="4" t="str" cm="1">
        <f t="array" ref="E4:I4">_xlfn.XLOOKUP(Gesamt!$A4,Geraete!A:A,Geraete!B:F,"not found",0,1)</f>
        <v>Smartphone</v>
      </c>
      <c r="F4" t="str">
        <v>Samsung S21</v>
      </c>
      <c r="G4" s="1">
        <v>45292</v>
      </c>
      <c r="H4" s="7">
        <v>1257.96</v>
      </c>
      <c r="I4" t="str">
        <v>München</v>
      </c>
      <c r="J4" t="str" cm="1">
        <f t="array" ref="J4:L4">_xlfn.XLOOKUP($B4,Mitarbeiter!A:A,Mitarbeiter!B:D,"not found",0,1)</f>
        <v>Ariane Klemt-Kaul</v>
      </c>
      <c r="K4" t="str">
        <v>IT</v>
      </c>
      <c r="L4" t="str">
        <v>München</v>
      </c>
    </row>
    <row r="5" spans="1:12" x14ac:dyDescent="0.2">
      <c r="A5" t="s">
        <v>39</v>
      </c>
      <c r="B5" s="6">
        <v>1001</v>
      </c>
      <c r="C5" s="1">
        <v>45544</v>
      </c>
      <c r="D5" s="1">
        <v>45854</v>
      </c>
      <c r="E5" s="4" t="str" cm="1">
        <f t="array" ref="E5:I5">_xlfn.XLOOKUP(Gesamt!$A5,Geraete!A:A,Geraete!B:F,"not found",0,1)</f>
        <v>Laptop</v>
      </c>
      <c r="F5" t="str">
        <v>Lenovo ThinkPad</v>
      </c>
      <c r="G5" s="1">
        <v>44360</v>
      </c>
      <c r="H5" s="7">
        <v>869.09</v>
      </c>
      <c r="I5" t="str">
        <v>Hamburg</v>
      </c>
      <c r="J5" t="str" cm="1">
        <f t="array" ref="J5:L5">_xlfn.XLOOKUP($B5,Mitarbeiter!A:A,Mitarbeiter!B:D,"not found",0,1)</f>
        <v>Aleksandr Weinhage</v>
      </c>
      <c r="K5" t="str">
        <v>IT</v>
      </c>
      <c r="L5" t="str">
        <v>Berlin</v>
      </c>
    </row>
    <row r="6" spans="1:12" x14ac:dyDescent="0.2">
      <c r="A6" t="s">
        <v>28</v>
      </c>
      <c r="B6" s="6">
        <v>1011</v>
      </c>
      <c r="C6" s="1">
        <v>45850</v>
      </c>
      <c r="D6" s="1">
        <v>45853</v>
      </c>
      <c r="E6" s="4" t="str" cm="1">
        <f t="array" ref="E6:I6">_xlfn.XLOOKUP(Gesamt!$A6,Geraete!A:A,Geraete!B:F,"not found",0,1)</f>
        <v>Laptop</v>
      </c>
      <c r="F6" t="str">
        <v>Dell XPS</v>
      </c>
      <c r="G6" s="1">
        <v>45026</v>
      </c>
      <c r="H6" s="7">
        <v>1458.02</v>
      </c>
      <c r="I6" t="str">
        <v>München</v>
      </c>
      <c r="J6" t="str" cm="1">
        <f t="array" ref="J6:L6">_xlfn.XLOOKUP($B6,Mitarbeiter!A:A,Mitarbeiter!B:D,"not found",0,1)</f>
        <v>Auguste Davids</v>
      </c>
      <c r="K6" t="str">
        <v>IT</v>
      </c>
      <c r="L6" t="str">
        <v>Hamburg</v>
      </c>
    </row>
    <row r="7" spans="1:12" x14ac:dyDescent="0.2">
      <c r="A7" t="s">
        <v>29</v>
      </c>
      <c r="B7" s="6">
        <v>1005</v>
      </c>
      <c r="C7" s="1">
        <v>45837</v>
      </c>
      <c r="D7" s="1">
        <v>45898</v>
      </c>
      <c r="E7" s="4" t="str" cm="1">
        <f t="array" ref="E7:I7">_xlfn.XLOOKUP(Gesamt!$A7,Geraete!A:A,Geraete!B:F,"not found",0,1)</f>
        <v>Drucker</v>
      </c>
      <c r="F7" t="str">
        <v>Brother HL</v>
      </c>
      <c r="G7" s="1">
        <v>45909</v>
      </c>
      <c r="H7" s="7">
        <v>1417.1</v>
      </c>
      <c r="I7" t="str">
        <v>München</v>
      </c>
      <c r="J7" t="str" cm="1">
        <f t="array" ref="J7:L7">_xlfn.XLOOKUP($B7,Mitarbeiter!A:A,Mitarbeiter!B:D,"not found",0,1)</f>
        <v>Alexandre Davids</v>
      </c>
      <c r="K7" t="str">
        <v>Vertrieb</v>
      </c>
      <c r="L7" t="str">
        <v>Berlin</v>
      </c>
    </row>
    <row r="8" spans="1:12" x14ac:dyDescent="0.2">
      <c r="A8" t="s">
        <v>31</v>
      </c>
      <c r="B8" s="6">
        <v>1012</v>
      </c>
      <c r="C8" s="1">
        <v>45419</v>
      </c>
      <c r="D8" s="1">
        <v>45470</v>
      </c>
      <c r="E8" s="4" t="str" cm="1">
        <f t="array" ref="E8:I8">_xlfn.XLOOKUP(Gesamt!$A8,Geraete!A:A,Geraete!B:F,"not found",0,1)</f>
        <v>Drucker</v>
      </c>
      <c r="F8" t="str">
        <v>Canon Pixma</v>
      </c>
      <c r="G8" s="1">
        <v>44332</v>
      </c>
      <c r="H8" s="7">
        <v>1898.65</v>
      </c>
      <c r="I8" t="str">
        <v>Hamburg</v>
      </c>
      <c r="J8" t="str" cm="1">
        <f t="array" ref="J8:L8">_xlfn.XLOOKUP($B8,Mitarbeiter!A:A,Mitarbeiter!B:D,"not found",0,1)</f>
        <v>Ariane Klemt-Kaul</v>
      </c>
      <c r="K8" t="str">
        <v>IT</v>
      </c>
      <c r="L8" t="str">
        <v>München</v>
      </c>
    </row>
    <row r="9" spans="1:12" x14ac:dyDescent="0.2">
      <c r="A9" t="s">
        <v>43</v>
      </c>
      <c r="B9" s="6">
        <v>1001</v>
      </c>
      <c r="C9" s="1">
        <v>45622</v>
      </c>
      <c r="D9" s="1">
        <v>45719</v>
      </c>
      <c r="E9" s="4" t="str" cm="1">
        <f t="array" ref="E9:I9">_xlfn.XLOOKUP(Gesamt!$A9,Geraete!A:A,Geraete!B:F,"not found",0,1)</f>
        <v>Laptop</v>
      </c>
      <c r="F9" t="str">
        <v>Lenovo ThinkPad</v>
      </c>
      <c r="G9" s="1">
        <v>44258</v>
      </c>
      <c r="H9" s="7">
        <v>1415.97</v>
      </c>
      <c r="I9" t="str">
        <v>Hamburg</v>
      </c>
      <c r="J9" t="str" cm="1">
        <f t="array" ref="J9:L9">_xlfn.XLOOKUP($B9,Mitarbeiter!A:A,Mitarbeiter!B:D,"not found",0,1)</f>
        <v>Aleksandr Weinhage</v>
      </c>
      <c r="K9" t="str">
        <v>IT</v>
      </c>
      <c r="L9" t="str">
        <v>Berlin</v>
      </c>
    </row>
    <row r="10" spans="1:12" x14ac:dyDescent="0.2">
      <c r="A10" t="s">
        <v>33</v>
      </c>
      <c r="B10" s="6">
        <v>1010</v>
      </c>
      <c r="C10" s="1">
        <v>45377</v>
      </c>
      <c r="D10" s="1">
        <v>45886</v>
      </c>
      <c r="E10" s="4" t="str" cm="1">
        <f t="array" ref="E10:I10">_xlfn.XLOOKUP(Gesamt!$A10,Geraete!A:A,Geraete!B:F,"not found",0,1)</f>
        <v>Smartphone</v>
      </c>
      <c r="F10" t="str">
        <v>iPhone 13</v>
      </c>
      <c r="G10" s="1">
        <v>44824</v>
      </c>
      <c r="H10" s="7">
        <v>661.44</v>
      </c>
      <c r="I10" t="str">
        <v>München</v>
      </c>
      <c r="J10" t="str" cm="1">
        <f t="array" ref="J10:L10">_xlfn.XLOOKUP($B10,Mitarbeiter!A:A,Mitarbeiter!B:D,"not found",0,1)</f>
        <v>Carolin Hande</v>
      </c>
      <c r="K10" t="str">
        <v>IT</v>
      </c>
      <c r="L10" t="str">
        <v>Hamburg</v>
      </c>
    </row>
    <row r="11" spans="1:12" x14ac:dyDescent="0.2">
      <c r="A11" t="s">
        <v>25</v>
      </c>
      <c r="B11" s="6">
        <v>1010</v>
      </c>
      <c r="C11" s="1">
        <v>45866</v>
      </c>
      <c r="E11" s="4" t="str" cm="1">
        <f t="array" ref="E11:I11">_xlfn.XLOOKUP(Gesamt!$A11,Geraete!A:A,Geraete!B:F,"not found",0,1)</f>
        <v>Drucker</v>
      </c>
      <c r="F11" t="str">
        <v>Canon Pixma</v>
      </c>
      <c r="G11" s="1">
        <v>45015</v>
      </c>
      <c r="H11" s="7">
        <v>1501.06</v>
      </c>
      <c r="I11" t="str">
        <v>Berlin</v>
      </c>
      <c r="J11" t="str" cm="1">
        <f t="array" ref="J11:L11">_xlfn.XLOOKUP($B11,Mitarbeiter!A:A,Mitarbeiter!B:D,"not found",0,1)</f>
        <v>Carolin Hande</v>
      </c>
      <c r="K11" t="str">
        <v>IT</v>
      </c>
      <c r="L11" t="str">
        <v>Hamburg</v>
      </c>
    </row>
    <row r="12" spans="1:12" x14ac:dyDescent="0.2">
      <c r="A12" t="s">
        <v>35</v>
      </c>
      <c r="B12" s="6">
        <v>1011</v>
      </c>
      <c r="C12" s="1">
        <v>45568</v>
      </c>
      <c r="D12" s="1">
        <v>45623</v>
      </c>
      <c r="E12" s="4" t="str" cm="1">
        <f t="array" ref="E12:I12">_xlfn.XLOOKUP(Gesamt!$A12,Geraete!A:A,Geraete!B:F,"not found",0,1)</f>
        <v>Tablet</v>
      </c>
      <c r="F12" t="str">
        <v>iPad</v>
      </c>
      <c r="G12" s="1">
        <v>44839</v>
      </c>
      <c r="H12" s="7">
        <v>1688.07</v>
      </c>
      <c r="I12" t="str">
        <v>München</v>
      </c>
      <c r="J12" t="str" cm="1">
        <f t="array" ref="J12:L12">_xlfn.XLOOKUP($B12,Mitarbeiter!A:A,Mitarbeiter!B:D,"not found",0,1)</f>
        <v>Auguste Davids</v>
      </c>
      <c r="K12" t="str">
        <v>IT</v>
      </c>
      <c r="L12" t="str">
        <v>Hamburg</v>
      </c>
    </row>
    <row r="13" spans="1:12" x14ac:dyDescent="0.2">
      <c r="A13" t="s">
        <v>23</v>
      </c>
      <c r="B13" s="6">
        <v>1008</v>
      </c>
      <c r="C13" s="1">
        <v>45930</v>
      </c>
      <c r="D13" s="1">
        <v>45935</v>
      </c>
      <c r="E13" s="4" t="str" cm="1">
        <f t="array" ref="E13:I13">_xlfn.XLOOKUP(Gesamt!$A13,Geraete!A:A,Geraete!B:F,"not found",0,1)</f>
        <v>Monitor</v>
      </c>
      <c r="F13" t="str">
        <v>Samsung Curved</v>
      </c>
      <c r="G13" s="1">
        <v>44979</v>
      </c>
      <c r="H13" s="7">
        <v>1134.1600000000001</v>
      </c>
      <c r="I13" t="str">
        <v>München</v>
      </c>
      <c r="J13" t="str" cm="1">
        <f t="array" ref="J13:L13">_xlfn.XLOOKUP($B13,Mitarbeiter!A:A,Mitarbeiter!B:D,"not found",0,1)</f>
        <v>Dipl.-Ing. Klaus-Werner Holsten B.Sc.</v>
      </c>
      <c r="K13" t="str">
        <v>IT</v>
      </c>
      <c r="L13" t="str">
        <v>Hamburg</v>
      </c>
    </row>
    <row r="14" spans="1:12" x14ac:dyDescent="0.2">
      <c r="A14" t="s">
        <v>34</v>
      </c>
      <c r="B14" s="6">
        <v>1002</v>
      </c>
      <c r="C14" s="1">
        <v>45899</v>
      </c>
      <c r="D14" s="1">
        <v>45930</v>
      </c>
      <c r="E14" s="4" t="str" cm="1">
        <f t="array" ref="E14:I14">_xlfn.XLOOKUP(Gesamt!$A14,Geraete!A:A,Geraete!B:F,"not found",0,1)</f>
        <v>Tablet</v>
      </c>
      <c r="F14" t="str">
        <v>iPad</v>
      </c>
      <c r="G14" s="1">
        <v>45524</v>
      </c>
      <c r="H14" s="7">
        <v>1591.98</v>
      </c>
      <c r="I14" t="str">
        <v>Hamburg</v>
      </c>
      <c r="J14" t="str" cm="1">
        <f t="array" ref="J14:L14">_xlfn.XLOOKUP($B14,Mitarbeiter!A:A,Mitarbeiter!B:D,"not found",0,1)</f>
        <v>Eleni Hauffer</v>
      </c>
      <c r="K14" t="str">
        <v>IT</v>
      </c>
      <c r="L14" t="str">
        <v>Berlin</v>
      </c>
    </row>
    <row r="15" spans="1:12" x14ac:dyDescent="0.2">
      <c r="A15" t="s">
        <v>24</v>
      </c>
      <c r="B15" s="6">
        <v>1005</v>
      </c>
      <c r="C15" s="1">
        <v>45743</v>
      </c>
      <c r="D15" s="1">
        <v>45868</v>
      </c>
      <c r="E15" s="4" t="str" cm="1">
        <f t="array" ref="E15:I15">_xlfn.XLOOKUP(Gesamt!$A15,Geraete!A:A,Geraete!B:F,"not found",0,1)</f>
        <v>Monitor</v>
      </c>
      <c r="F15" t="str">
        <v>Dell UltraSharp</v>
      </c>
      <c r="G15" s="1">
        <v>44621</v>
      </c>
      <c r="H15" s="7">
        <v>750.91</v>
      </c>
      <c r="I15" t="str">
        <v>Berlin</v>
      </c>
      <c r="J15" t="str" cm="1">
        <f t="array" ref="J15:L15">_xlfn.XLOOKUP($B15,Mitarbeiter!A:A,Mitarbeiter!B:D,"not found",0,1)</f>
        <v>Alexandre Davids</v>
      </c>
      <c r="K15" t="str">
        <v>Vertrieb</v>
      </c>
      <c r="L15" t="str">
        <v>Berlin</v>
      </c>
    </row>
    <row r="16" spans="1:12" x14ac:dyDescent="0.2">
      <c r="A16" t="s">
        <v>41</v>
      </c>
      <c r="B16" s="6">
        <v>1005</v>
      </c>
      <c r="C16" s="1">
        <v>45675</v>
      </c>
      <c r="E16" s="4" t="str" cm="1">
        <f t="array" ref="E16:I16">_xlfn.XLOOKUP(Gesamt!$A16,Geraete!A:A,Geraete!B:F,"not found",0,1)</f>
        <v>Beamer</v>
      </c>
      <c r="F16" t="str">
        <v>Epson EB</v>
      </c>
      <c r="G16" s="1">
        <v>45266</v>
      </c>
      <c r="H16" s="7">
        <v>545.46</v>
      </c>
      <c r="I16" t="str">
        <v>Berlin</v>
      </c>
      <c r="J16" t="str" cm="1">
        <f t="array" ref="J16:L16">_xlfn.XLOOKUP($B16,Mitarbeiter!A:A,Mitarbeiter!B:D,"not found",0,1)</f>
        <v>Alexandre Davids</v>
      </c>
      <c r="K16" t="str">
        <v>Vertrieb</v>
      </c>
      <c r="L16" t="str">
        <v>Berlin</v>
      </c>
    </row>
    <row r="17" spans="1:12" x14ac:dyDescent="0.2">
      <c r="A17" t="s">
        <v>37</v>
      </c>
      <c r="B17" s="6">
        <v>1004</v>
      </c>
      <c r="C17" s="1">
        <v>45403</v>
      </c>
      <c r="D17" s="1">
        <v>45839</v>
      </c>
      <c r="E17" s="4" t="str" cm="1">
        <f t="array" ref="E17:I17">_xlfn.XLOOKUP(Gesamt!$A17,Geraete!A:A,Geraete!B:F,"not found",0,1)</f>
        <v>Monitor</v>
      </c>
      <c r="F17" t="str">
        <v>Samsung Curved</v>
      </c>
      <c r="G17" s="1">
        <v>44766</v>
      </c>
      <c r="H17" s="7">
        <v>501.64</v>
      </c>
      <c r="I17" t="str">
        <v>München</v>
      </c>
      <c r="J17" t="str" cm="1">
        <f t="array" ref="J17:L17">_xlfn.XLOOKUP($B17,Mitarbeiter!A:A,Mitarbeiter!B:D,"not found",0,1)</f>
        <v>Klemens Löffler</v>
      </c>
      <c r="K17" t="str">
        <v>Vertrieb</v>
      </c>
      <c r="L17" t="str">
        <v>Hamburg</v>
      </c>
    </row>
    <row r="18" spans="1:12" x14ac:dyDescent="0.2">
      <c r="A18" t="s">
        <v>30</v>
      </c>
      <c r="B18" s="6">
        <v>1004</v>
      </c>
      <c r="C18" s="1">
        <v>45523</v>
      </c>
      <c r="E18" s="4" t="str" cm="1">
        <f t="array" ref="E18:I18">_xlfn.XLOOKUP(Gesamt!$A18,Geraete!A:A,Geraete!B:F,"not found",0,1)</f>
        <v>Beamer</v>
      </c>
      <c r="F18" t="str">
        <v>Epson EB</v>
      </c>
      <c r="G18" s="1">
        <v>44945</v>
      </c>
      <c r="H18" s="7">
        <v>1246.58</v>
      </c>
      <c r="I18" t="str">
        <v>Hamburg</v>
      </c>
      <c r="J18" t="str" cm="1">
        <f t="array" ref="J18:L18">_xlfn.XLOOKUP($B18,Mitarbeiter!A:A,Mitarbeiter!B:D,"not found",0,1)</f>
        <v>Klemens Löffler</v>
      </c>
      <c r="K18" t="str">
        <v>Vertrieb</v>
      </c>
      <c r="L18" t="str">
        <v>Hamburg</v>
      </c>
    </row>
    <row r="19" spans="1:12" x14ac:dyDescent="0.2">
      <c r="A19" t="s">
        <v>32</v>
      </c>
      <c r="B19" s="6">
        <v>1002</v>
      </c>
      <c r="C19" s="1">
        <v>45921</v>
      </c>
      <c r="D19" s="1">
        <v>45934</v>
      </c>
      <c r="E19" s="4" t="str" cm="1">
        <f t="array" ref="E19:I19">_xlfn.XLOOKUP(Gesamt!$A19,Geraete!A:A,Geraete!B:F,"not found",0,1)</f>
        <v>Laptop</v>
      </c>
      <c r="F19" t="str">
        <v>Lenovo ThinkPad</v>
      </c>
      <c r="G19" s="1">
        <v>44337</v>
      </c>
      <c r="H19" s="7">
        <v>1553.15</v>
      </c>
      <c r="I19" t="str">
        <v>Hamburg</v>
      </c>
      <c r="J19" t="str" cm="1">
        <f t="array" ref="J19:L19">_xlfn.XLOOKUP($B19,Mitarbeiter!A:A,Mitarbeiter!B:D,"not found",0,1)</f>
        <v>Eleni Hauffer</v>
      </c>
      <c r="K19" t="str">
        <v>IT</v>
      </c>
      <c r="L19" t="str">
        <v>Berlin</v>
      </c>
    </row>
    <row r="20" spans="1:12" x14ac:dyDescent="0.2">
      <c r="A20" t="s">
        <v>38</v>
      </c>
      <c r="B20" s="6">
        <v>1012</v>
      </c>
      <c r="C20" s="1">
        <v>45792</v>
      </c>
      <c r="D20" s="1">
        <v>45905</v>
      </c>
      <c r="E20" s="4" t="str" cm="1">
        <f t="array" ref="E20:I20">_xlfn.XLOOKUP(Gesamt!$A20,Geraete!A:A,Geraete!B:F,"not found",0,1)</f>
        <v>Beamer</v>
      </c>
      <c r="F20" t="str">
        <v>Epson EB</v>
      </c>
      <c r="G20" s="1">
        <v>44647</v>
      </c>
      <c r="H20" s="7">
        <v>1629.76</v>
      </c>
      <c r="I20" t="str">
        <v>München</v>
      </c>
      <c r="J20" t="str" cm="1">
        <f t="array" ref="J20:L20">_xlfn.XLOOKUP($B20,Mitarbeiter!A:A,Mitarbeiter!B:D,"not found",0,1)</f>
        <v>Ariane Klemt-Kaul</v>
      </c>
      <c r="K20" t="str">
        <v>IT</v>
      </c>
      <c r="L20" t="str">
        <v>München</v>
      </c>
    </row>
    <row r="21" spans="1:12" x14ac:dyDescent="0.2">
      <c r="A21" t="s">
        <v>36</v>
      </c>
      <c r="B21" s="6">
        <v>1004</v>
      </c>
      <c r="C21" s="1">
        <v>45320</v>
      </c>
      <c r="E21" s="4" t="str" cm="1">
        <f t="array" ref="E21:I21">_xlfn.XLOOKUP(Gesamt!$A21,Geraete!A:A,Geraete!B:F,"not found",0,1)</f>
        <v>Laptop</v>
      </c>
      <c r="F21" t="str">
        <v>HP EliteBook</v>
      </c>
      <c r="G21" s="1">
        <v>45775</v>
      </c>
      <c r="H21" s="7">
        <v>1095.6199999999999</v>
      </c>
      <c r="I21" t="str">
        <v>München</v>
      </c>
      <c r="J21" t="str" cm="1">
        <f t="array" ref="J21:L21">_xlfn.XLOOKUP($B21,Mitarbeiter!A:A,Mitarbeiter!B:D,"not found",0,1)</f>
        <v>Klemens Löffler</v>
      </c>
      <c r="K21" t="str">
        <v>Vertrieb</v>
      </c>
      <c r="L21" t="str">
        <v>Hamburg</v>
      </c>
    </row>
    <row r="22" spans="1:12" x14ac:dyDescent="0.2">
      <c r="A22" t="s">
        <v>42</v>
      </c>
      <c r="B22" s="6">
        <v>1003</v>
      </c>
      <c r="C22" s="1">
        <v>45508</v>
      </c>
      <c r="D22" s="1">
        <v>45871</v>
      </c>
      <c r="E22" s="4" t="str" cm="1">
        <f t="array" ref="E22:I22">_xlfn.XLOOKUP(Gesamt!$A22,Geraete!A:A,Geraete!B:F,"not found",0,1)</f>
        <v>Laptop</v>
      </c>
      <c r="F22" t="str">
        <v>Lenovo ThinkPad</v>
      </c>
      <c r="G22" s="1">
        <v>44876</v>
      </c>
      <c r="H22" s="7">
        <v>1801.36</v>
      </c>
      <c r="I22" t="str">
        <v>München</v>
      </c>
      <c r="J22" t="str" cm="1">
        <f t="array" ref="J22:L22">_xlfn.XLOOKUP($B22,Mitarbeiter!A:A,Mitarbeiter!B:D,"not found",0,1)</f>
        <v>Paul Dobes-Stiffel</v>
      </c>
      <c r="K22" t="str">
        <v>Produktion</v>
      </c>
      <c r="L22" t="str">
        <v>Hamburg</v>
      </c>
    </row>
    <row r="23" spans="1:12" x14ac:dyDescent="0.2">
      <c r="A23" t="s">
        <v>44</v>
      </c>
      <c r="B23" s="6">
        <v>1009</v>
      </c>
      <c r="C23" s="1">
        <v>45740</v>
      </c>
      <c r="D23" s="1">
        <v>45784</v>
      </c>
      <c r="E23" s="4" t="str" cm="1">
        <f t="array" ref="E23:I23">_xlfn.XLOOKUP(Gesamt!$A23,Geraete!A:A,Geraete!B:F,"not found",0,1)</f>
        <v>Beamer</v>
      </c>
      <c r="F23" t="str">
        <v>BenQ MW550</v>
      </c>
      <c r="G23" s="1">
        <v>44623</v>
      </c>
      <c r="H23" s="7">
        <v>1212.29</v>
      </c>
      <c r="I23" t="str">
        <v>Berlin</v>
      </c>
      <c r="J23" t="str" cm="1">
        <f t="array" ref="J23:L23">_xlfn.XLOOKUP($B23,Mitarbeiter!A:A,Mitarbeiter!B:D,"not found",0,1)</f>
        <v>Univ.Prof. Heimo Karge</v>
      </c>
      <c r="K23" t="str">
        <v>Marketing</v>
      </c>
      <c r="L23" t="str">
        <v>Hamburg</v>
      </c>
    </row>
    <row r="24" spans="1:12" x14ac:dyDescent="0.2">
      <c r="A24" t="s">
        <v>22</v>
      </c>
      <c r="B24" s="6">
        <v>1009</v>
      </c>
      <c r="C24" s="1">
        <v>45421</v>
      </c>
      <c r="E24" s="4" t="str" cm="1">
        <f t="array" ref="E24:I24">_xlfn.XLOOKUP(Gesamt!$A24,Geraete!A:A,Geraete!B:F,"not found",0,1)</f>
        <v>Beamer</v>
      </c>
      <c r="F24" t="str">
        <v>BenQ MW550</v>
      </c>
      <c r="G24" s="1">
        <v>45294</v>
      </c>
      <c r="H24" s="7">
        <v>644.54</v>
      </c>
      <c r="I24" t="str">
        <v>Berlin</v>
      </c>
      <c r="J24" t="str" cm="1">
        <f t="array" ref="J24:L24">_xlfn.XLOOKUP($B24,Mitarbeiter!A:A,Mitarbeiter!B:D,"not found",0,1)</f>
        <v>Univ.Prof. Heimo Karge</v>
      </c>
      <c r="K24" t="str">
        <v>Marketing</v>
      </c>
      <c r="L24" t="str">
        <v>Hamburg</v>
      </c>
    </row>
  </sheetData>
  <autoFilter ref="A1:L24" xr:uid="{4310A4BA-7FC4-8849-AEE2-91E48B576B15}">
    <sortState xmlns:xlrd2="http://schemas.microsoft.com/office/spreadsheetml/2017/richdata2" ref="A2:L24">
      <sortCondition ref="A1:A4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DBBD-C1AB-D144-9725-B20693E8E207}">
  <dimension ref="A1:B24"/>
  <sheetViews>
    <sheetView zoomScale="133" workbookViewId="0">
      <selection activeCell="E17" sqref="E17"/>
    </sheetView>
  </sheetViews>
  <sheetFormatPr baseColWidth="10" defaultRowHeight="16" x14ac:dyDescent="0.2"/>
  <cols>
    <col min="1" max="1" width="13" bestFit="1" customWidth="1"/>
    <col min="2" max="2" width="20.6640625" bestFit="1" customWidth="1"/>
  </cols>
  <sheetData>
    <row r="1" spans="1:2" x14ac:dyDescent="0.2">
      <c r="A1" s="8" t="s">
        <v>84</v>
      </c>
      <c r="B1" t="s">
        <v>90</v>
      </c>
    </row>
    <row r="3" spans="1:2" x14ac:dyDescent="0.2">
      <c r="A3" s="8" t="s">
        <v>87</v>
      </c>
      <c r="B3" t="s">
        <v>89</v>
      </c>
    </row>
    <row r="4" spans="1:2" x14ac:dyDescent="0.2">
      <c r="A4" s="9" t="s">
        <v>40</v>
      </c>
      <c r="B4" s="3">
        <v>2015.76</v>
      </c>
    </row>
    <row r="5" spans="1:2" x14ac:dyDescent="0.2">
      <c r="A5" s="9" t="s">
        <v>27</v>
      </c>
      <c r="B5" s="3">
        <v>1646.46</v>
      </c>
    </row>
    <row r="6" spans="1:2" x14ac:dyDescent="0.2">
      <c r="A6" s="9" t="s">
        <v>26</v>
      </c>
      <c r="B6" s="3">
        <v>1257.96</v>
      </c>
    </row>
    <row r="7" spans="1:2" x14ac:dyDescent="0.2">
      <c r="A7" s="9" t="s">
        <v>39</v>
      </c>
      <c r="B7" s="3">
        <v>869.09</v>
      </c>
    </row>
    <row r="8" spans="1:2" x14ac:dyDescent="0.2">
      <c r="A8" s="9" t="s">
        <v>28</v>
      </c>
      <c r="B8" s="3">
        <v>1458.02</v>
      </c>
    </row>
    <row r="9" spans="1:2" x14ac:dyDescent="0.2">
      <c r="A9" s="9" t="s">
        <v>29</v>
      </c>
      <c r="B9" s="3">
        <v>1417.1</v>
      </c>
    </row>
    <row r="10" spans="1:2" x14ac:dyDescent="0.2">
      <c r="A10" s="9" t="s">
        <v>31</v>
      </c>
      <c r="B10" s="3">
        <v>3797.3</v>
      </c>
    </row>
    <row r="11" spans="1:2" x14ac:dyDescent="0.2">
      <c r="A11" s="9" t="s">
        <v>43</v>
      </c>
      <c r="B11" s="3">
        <v>1415.97</v>
      </c>
    </row>
    <row r="12" spans="1:2" x14ac:dyDescent="0.2">
      <c r="A12" s="9" t="s">
        <v>33</v>
      </c>
      <c r="B12" s="3">
        <v>661.44</v>
      </c>
    </row>
    <row r="13" spans="1:2" x14ac:dyDescent="0.2">
      <c r="A13" s="9" t="s">
        <v>25</v>
      </c>
      <c r="B13" s="3">
        <v>6004.24</v>
      </c>
    </row>
    <row r="14" spans="1:2" x14ac:dyDescent="0.2">
      <c r="A14" s="9" t="s">
        <v>35</v>
      </c>
      <c r="B14" s="3">
        <v>1688.07</v>
      </c>
    </row>
    <row r="15" spans="1:2" x14ac:dyDescent="0.2">
      <c r="A15" s="9" t="s">
        <v>23</v>
      </c>
      <c r="B15" s="3">
        <v>1134.1600000000001</v>
      </c>
    </row>
    <row r="16" spans="1:2" x14ac:dyDescent="0.2">
      <c r="A16" s="9" t="s">
        <v>34</v>
      </c>
      <c r="B16" s="3">
        <v>3183.96</v>
      </c>
    </row>
    <row r="17" spans="1:2" x14ac:dyDescent="0.2">
      <c r="A17" s="9" t="s">
        <v>24</v>
      </c>
      <c r="B17" s="3">
        <v>750.91</v>
      </c>
    </row>
    <row r="18" spans="1:2" x14ac:dyDescent="0.2">
      <c r="A18" s="9" t="s">
        <v>37</v>
      </c>
      <c r="B18" s="3">
        <v>501.64</v>
      </c>
    </row>
    <row r="19" spans="1:2" x14ac:dyDescent="0.2">
      <c r="A19" s="9" t="s">
        <v>30</v>
      </c>
      <c r="B19" s="3">
        <v>2493.16</v>
      </c>
    </row>
    <row r="20" spans="1:2" x14ac:dyDescent="0.2">
      <c r="A20" s="9" t="s">
        <v>32</v>
      </c>
      <c r="B20" s="3">
        <v>1553.15</v>
      </c>
    </row>
    <row r="21" spans="1:2" x14ac:dyDescent="0.2">
      <c r="A21" s="9" t="s">
        <v>38</v>
      </c>
      <c r="B21" s="3">
        <v>3259.52</v>
      </c>
    </row>
    <row r="22" spans="1:2" x14ac:dyDescent="0.2">
      <c r="A22" s="9" t="s">
        <v>42</v>
      </c>
      <c r="B22" s="3">
        <v>1801.36</v>
      </c>
    </row>
    <row r="23" spans="1:2" x14ac:dyDescent="0.2">
      <c r="A23" s="9" t="s">
        <v>44</v>
      </c>
      <c r="B23" s="3">
        <v>1212.29</v>
      </c>
    </row>
    <row r="24" spans="1:2" x14ac:dyDescent="0.2">
      <c r="A24" s="9" t="s">
        <v>88</v>
      </c>
      <c r="B24" s="3">
        <v>38121.560000000005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4503E-A7E7-7143-80A2-76D011025730}">
  <sheetPr filterMode="1"/>
  <dimension ref="A1:L24"/>
  <sheetViews>
    <sheetView zoomScale="142" workbookViewId="0">
      <selection activeCell="E30" sqref="E29:E30"/>
    </sheetView>
  </sheetViews>
  <sheetFormatPr baseColWidth="10" defaultRowHeight="16" x14ac:dyDescent="0.2"/>
  <sheetData>
    <row r="1" spans="1:12" x14ac:dyDescent="0.2">
      <c r="A1" t="s">
        <v>83</v>
      </c>
      <c r="B1" t="s">
        <v>0</v>
      </c>
      <c r="C1" t="s">
        <v>21</v>
      </c>
      <c r="D1" t="s">
        <v>84</v>
      </c>
      <c r="E1" s="4" t="s">
        <v>85</v>
      </c>
      <c r="F1" s="4" t="s">
        <v>45</v>
      </c>
      <c r="G1" t="s">
        <v>46</v>
      </c>
      <c r="H1" t="s">
        <v>47</v>
      </c>
      <c r="I1" t="s">
        <v>3</v>
      </c>
      <c r="J1" t="s">
        <v>86</v>
      </c>
      <c r="K1" t="s">
        <v>2</v>
      </c>
      <c r="L1" t="s">
        <v>3</v>
      </c>
    </row>
    <row r="2" spans="1:12" x14ac:dyDescent="0.2">
      <c r="A2" t="s">
        <v>40</v>
      </c>
      <c r="B2" s="6">
        <v>1003</v>
      </c>
      <c r="C2" s="1">
        <v>45827</v>
      </c>
      <c r="D2" s="1">
        <v>45908</v>
      </c>
      <c r="E2" s="4" t="str" cm="1">
        <f t="array" ref="E2:I2">_xlfn.XLOOKUP(Gesamt!$A2,Geraete!A:A,Geraete!B:F,"not found",0,1)</f>
        <v>Laptop</v>
      </c>
      <c r="F2" t="str">
        <v>Dell XPS</v>
      </c>
      <c r="G2" s="1">
        <v>45782</v>
      </c>
      <c r="H2" s="7">
        <v>1007.88</v>
      </c>
      <c r="I2" t="str">
        <v>München</v>
      </c>
      <c r="J2" t="str" cm="1">
        <f t="array" ref="J2:L2">_xlfn.XLOOKUP($B2,Mitarbeiter!A:A,Mitarbeiter!B:D,"not found",0,1)</f>
        <v>Paul Dobes-Stiffel</v>
      </c>
      <c r="K2" t="str">
        <v>Produktion</v>
      </c>
      <c r="L2" t="str">
        <v>Hamburg</v>
      </c>
    </row>
    <row r="3" spans="1:12" hidden="1" x14ac:dyDescent="0.2">
      <c r="A3" t="s">
        <v>27</v>
      </c>
      <c r="B3" s="6">
        <v>1009</v>
      </c>
      <c r="C3" s="1">
        <v>45389</v>
      </c>
      <c r="E3" s="4" t="str" cm="1">
        <f t="array" ref="E3:I3">_xlfn.XLOOKUP(Gesamt!$A3,Geraete!A:A,Geraete!B:F,"not found",0,1)</f>
        <v>Drucker</v>
      </c>
      <c r="F3" t="str">
        <v>Canon Pixma</v>
      </c>
      <c r="G3" s="1">
        <v>44503</v>
      </c>
      <c r="H3" s="7">
        <v>823.23</v>
      </c>
      <c r="I3" t="str">
        <v>Berlin</v>
      </c>
      <c r="J3" t="str" cm="1">
        <f t="array" ref="J3:L3">_xlfn.XLOOKUP($B3,Mitarbeiter!A:A,Mitarbeiter!B:D,"not found",0,1)</f>
        <v>Univ.Prof. Heimo Karge</v>
      </c>
      <c r="K3" t="str">
        <v>Marketing</v>
      </c>
      <c r="L3" t="str">
        <v>Hamburg</v>
      </c>
    </row>
    <row r="4" spans="1:12" hidden="1" x14ac:dyDescent="0.2">
      <c r="A4" t="s">
        <v>26</v>
      </c>
      <c r="B4" s="6">
        <v>1012</v>
      </c>
      <c r="C4" s="1">
        <v>45808</v>
      </c>
      <c r="D4" s="1">
        <v>45818</v>
      </c>
      <c r="E4" s="4" t="str" cm="1">
        <f t="array" ref="E4:I4">_xlfn.XLOOKUP(Gesamt!$A4,Geraete!A:A,Geraete!B:F,"not found",0,1)</f>
        <v>Smartphone</v>
      </c>
      <c r="F4" t="str">
        <v>Samsung S21</v>
      </c>
      <c r="G4" s="1">
        <v>45292</v>
      </c>
      <c r="H4" s="7">
        <v>1257.96</v>
      </c>
      <c r="I4" t="str">
        <v>München</v>
      </c>
      <c r="J4" t="str" cm="1">
        <f t="array" ref="J4:L4">_xlfn.XLOOKUP($B4,Mitarbeiter!A:A,Mitarbeiter!B:D,"not found",0,1)</f>
        <v>Ariane Klemt-Kaul</v>
      </c>
      <c r="K4" t="str">
        <v>IT</v>
      </c>
      <c r="L4" t="str">
        <v>München</v>
      </c>
    </row>
    <row r="5" spans="1:12" x14ac:dyDescent="0.2">
      <c r="A5" t="s">
        <v>39</v>
      </c>
      <c r="B5" s="6">
        <v>1001</v>
      </c>
      <c r="C5" s="1">
        <v>45544</v>
      </c>
      <c r="D5" s="1">
        <v>45854</v>
      </c>
      <c r="E5" s="4" t="str" cm="1">
        <f t="array" ref="E5:I5">_xlfn.XLOOKUP(Gesamt!$A5,Geraete!A:A,Geraete!B:F,"not found",0,1)</f>
        <v>Laptop</v>
      </c>
      <c r="F5" t="str">
        <v>Lenovo ThinkPad</v>
      </c>
      <c r="G5" s="1">
        <v>44360</v>
      </c>
      <c r="H5" s="7">
        <v>869.09</v>
      </c>
      <c r="I5" t="str">
        <v>Hamburg</v>
      </c>
      <c r="J5" t="str" cm="1">
        <f t="array" ref="J5:L5">_xlfn.XLOOKUP($B5,Mitarbeiter!A:A,Mitarbeiter!B:D,"not found",0,1)</f>
        <v>Aleksandr Weinhage</v>
      </c>
      <c r="K5" t="str">
        <v>IT</v>
      </c>
      <c r="L5" t="str">
        <v>Berlin</v>
      </c>
    </row>
    <row r="6" spans="1:12" x14ac:dyDescent="0.2">
      <c r="A6" t="s">
        <v>28</v>
      </c>
      <c r="B6" s="6">
        <v>1011</v>
      </c>
      <c r="C6" s="1">
        <v>45850</v>
      </c>
      <c r="D6" s="1">
        <v>45853</v>
      </c>
      <c r="E6" s="4" t="str" cm="1">
        <f t="array" ref="E6:I6">_xlfn.XLOOKUP(Gesamt!$A6,Geraete!A:A,Geraete!B:F,"not found",0,1)</f>
        <v>Laptop</v>
      </c>
      <c r="F6" t="str">
        <v>Dell XPS</v>
      </c>
      <c r="G6" s="1">
        <v>45026</v>
      </c>
      <c r="H6" s="7">
        <v>1458.02</v>
      </c>
      <c r="I6" t="str">
        <v>München</v>
      </c>
      <c r="J6" t="str" cm="1">
        <f t="array" ref="J6:L6">_xlfn.XLOOKUP($B6,Mitarbeiter!A:A,Mitarbeiter!B:D,"not found",0,1)</f>
        <v>Auguste Davids</v>
      </c>
      <c r="K6" t="str">
        <v>IT</v>
      </c>
      <c r="L6" t="str">
        <v>Hamburg</v>
      </c>
    </row>
    <row r="7" spans="1:12" hidden="1" x14ac:dyDescent="0.2">
      <c r="A7" t="s">
        <v>29</v>
      </c>
      <c r="B7" s="6">
        <v>1005</v>
      </c>
      <c r="C7" s="1">
        <v>45837</v>
      </c>
      <c r="D7" s="1">
        <v>45898</v>
      </c>
      <c r="E7" s="4" t="str" cm="1">
        <f t="array" ref="E7:I7">_xlfn.XLOOKUP(Gesamt!$A7,Geraete!A:A,Geraete!B:F,"not found",0,1)</f>
        <v>Drucker</v>
      </c>
      <c r="F7" t="str">
        <v>Brother HL</v>
      </c>
      <c r="G7" s="1">
        <v>45909</v>
      </c>
      <c r="H7" s="7">
        <v>1417.1</v>
      </c>
      <c r="I7" t="str">
        <v>München</v>
      </c>
      <c r="J7" t="str" cm="1">
        <f t="array" ref="J7:L7">_xlfn.XLOOKUP($B7,Mitarbeiter!A:A,Mitarbeiter!B:D,"not found",0,1)</f>
        <v>Alexandre Davids</v>
      </c>
      <c r="K7" t="str">
        <v>Vertrieb</v>
      </c>
      <c r="L7" t="str">
        <v>Berlin</v>
      </c>
    </row>
    <row r="8" spans="1:12" hidden="1" x14ac:dyDescent="0.2">
      <c r="A8" t="s">
        <v>31</v>
      </c>
      <c r="B8" s="6">
        <v>1012</v>
      </c>
      <c r="C8" s="1">
        <v>45419</v>
      </c>
      <c r="D8" s="1">
        <v>45470</v>
      </c>
      <c r="E8" s="4" t="str" cm="1">
        <f t="array" ref="E8:I8">_xlfn.XLOOKUP(Gesamt!$A8,Geraete!A:A,Geraete!B:F,"not found",0,1)</f>
        <v>Drucker</v>
      </c>
      <c r="F8" t="str">
        <v>Canon Pixma</v>
      </c>
      <c r="G8" s="1">
        <v>44332</v>
      </c>
      <c r="H8" s="7">
        <v>1898.65</v>
      </c>
      <c r="I8" t="str">
        <v>Hamburg</v>
      </c>
      <c r="J8" t="str" cm="1">
        <f t="array" ref="J8:L8">_xlfn.XLOOKUP($B8,Mitarbeiter!A:A,Mitarbeiter!B:D,"not found",0,1)</f>
        <v>Ariane Klemt-Kaul</v>
      </c>
      <c r="K8" t="str">
        <v>IT</v>
      </c>
      <c r="L8" t="str">
        <v>München</v>
      </c>
    </row>
    <row r="9" spans="1:12" x14ac:dyDescent="0.2">
      <c r="A9" t="s">
        <v>43</v>
      </c>
      <c r="B9" s="6">
        <v>1001</v>
      </c>
      <c r="C9" s="1">
        <v>45622</v>
      </c>
      <c r="D9" s="1">
        <v>45719</v>
      </c>
      <c r="E9" s="4" t="str" cm="1">
        <f t="array" ref="E9:I9">_xlfn.XLOOKUP(Gesamt!$A9,Geraete!A:A,Geraete!B:F,"not found",0,1)</f>
        <v>Laptop</v>
      </c>
      <c r="F9" t="str">
        <v>Lenovo ThinkPad</v>
      </c>
      <c r="G9" s="1">
        <v>44258</v>
      </c>
      <c r="H9" s="7">
        <v>1415.97</v>
      </c>
      <c r="I9" t="str">
        <v>Hamburg</v>
      </c>
      <c r="J9" t="str" cm="1">
        <f t="array" ref="J9:L9">_xlfn.XLOOKUP($B9,Mitarbeiter!A:A,Mitarbeiter!B:D,"not found",0,1)</f>
        <v>Aleksandr Weinhage</v>
      </c>
      <c r="K9" t="str">
        <v>IT</v>
      </c>
      <c r="L9" t="str">
        <v>Berlin</v>
      </c>
    </row>
    <row r="10" spans="1:12" hidden="1" x14ac:dyDescent="0.2">
      <c r="A10" t="s">
        <v>33</v>
      </c>
      <c r="B10" s="6">
        <v>1010</v>
      </c>
      <c r="C10" s="1">
        <v>45377</v>
      </c>
      <c r="D10" s="1">
        <v>45886</v>
      </c>
      <c r="E10" s="4" t="str" cm="1">
        <f t="array" ref="E10:I10">_xlfn.XLOOKUP(Gesamt!$A10,Geraete!A:A,Geraete!B:F,"not found",0,1)</f>
        <v>Smartphone</v>
      </c>
      <c r="F10" t="str">
        <v>iPhone 13</v>
      </c>
      <c r="G10" s="1">
        <v>44824</v>
      </c>
      <c r="H10" s="7">
        <v>661.44</v>
      </c>
      <c r="I10" t="str">
        <v>München</v>
      </c>
      <c r="J10" t="str" cm="1">
        <f t="array" ref="J10:L10">_xlfn.XLOOKUP($B10,Mitarbeiter!A:A,Mitarbeiter!B:D,"not found",0,1)</f>
        <v>Carolin Hande</v>
      </c>
      <c r="K10" t="str">
        <v>IT</v>
      </c>
      <c r="L10" t="str">
        <v>Hamburg</v>
      </c>
    </row>
    <row r="11" spans="1:12" hidden="1" x14ac:dyDescent="0.2">
      <c r="A11" t="s">
        <v>25</v>
      </c>
      <c r="B11" s="6">
        <v>1010</v>
      </c>
      <c r="C11" s="1">
        <v>45866</v>
      </c>
      <c r="E11" s="4" t="str" cm="1">
        <f t="array" ref="E11:I11">_xlfn.XLOOKUP(Gesamt!$A11,Geraete!A:A,Geraete!B:F,"not found",0,1)</f>
        <v>Drucker</v>
      </c>
      <c r="F11" t="str">
        <v>Canon Pixma</v>
      </c>
      <c r="G11" s="1">
        <v>45015</v>
      </c>
      <c r="H11" s="7">
        <v>1501.06</v>
      </c>
      <c r="I11" t="str">
        <v>Berlin</v>
      </c>
      <c r="J11" t="str" cm="1">
        <f t="array" ref="J11:L11">_xlfn.XLOOKUP($B11,Mitarbeiter!A:A,Mitarbeiter!B:D,"not found",0,1)</f>
        <v>Carolin Hande</v>
      </c>
      <c r="K11" t="str">
        <v>IT</v>
      </c>
      <c r="L11" t="str">
        <v>Hamburg</v>
      </c>
    </row>
    <row r="12" spans="1:12" hidden="1" x14ac:dyDescent="0.2">
      <c r="A12" t="s">
        <v>35</v>
      </c>
      <c r="B12" s="6">
        <v>1011</v>
      </c>
      <c r="C12" s="1">
        <v>45568</v>
      </c>
      <c r="D12" s="1">
        <v>45623</v>
      </c>
      <c r="E12" s="4" t="str" cm="1">
        <f t="array" ref="E12:I12">_xlfn.XLOOKUP(Gesamt!$A12,Geraete!A:A,Geraete!B:F,"not found",0,1)</f>
        <v>Tablet</v>
      </c>
      <c r="F12" t="str">
        <v>iPad</v>
      </c>
      <c r="G12" s="1">
        <v>44839</v>
      </c>
      <c r="H12" s="7">
        <v>1688.07</v>
      </c>
      <c r="I12" t="str">
        <v>München</v>
      </c>
      <c r="J12" t="str" cm="1">
        <f t="array" ref="J12:L12">_xlfn.XLOOKUP($B12,Mitarbeiter!A:A,Mitarbeiter!B:D,"not found",0,1)</f>
        <v>Auguste Davids</v>
      </c>
      <c r="K12" t="str">
        <v>IT</v>
      </c>
      <c r="L12" t="str">
        <v>Hamburg</v>
      </c>
    </row>
    <row r="13" spans="1:12" hidden="1" x14ac:dyDescent="0.2">
      <c r="A13" t="s">
        <v>23</v>
      </c>
      <c r="B13" s="6">
        <v>1008</v>
      </c>
      <c r="C13" s="1">
        <v>45930</v>
      </c>
      <c r="D13" s="1">
        <v>45935</v>
      </c>
      <c r="E13" s="4" t="str" cm="1">
        <f t="array" ref="E13:I13">_xlfn.XLOOKUP(Gesamt!$A13,Geraete!A:A,Geraete!B:F,"not found",0,1)</f>
        <v>Monitor</v>
      </c>
      <c r="F13" t="str">
        <v>Samsung Curved</v>
      </c>
      <c r="G13" s="1">
        <v>44979</v>
      </c>
      <c r="H13" s="7">
        <v>1134.1600000000001</v>
      </c>
      <c r="I13" t="str">
        <v>München</v>
      </c>
      <c r="J13" t="str" cm="1">
        <f t="array" ref="J13:L13">_xlfn.XLOOKUP($B13,Mitarbeiter!A:A,Mitarbeiter!B:D,"not found",0,1)</f>
        <v>Dipl.-Ing. Klaus-Werner Holsten B.Sc.</v>
      </c>
      <c r="K13" t="str">
        <v>IT</v>
      </c>
      <c r="L13" t="str">
        <v>Hamburg</v>
      </c>
    </row>
    <row r="14" spans="1:12" hidden="1" x14ac:dyDescent="0.2">
      <c r="A14" t="s">
        <v>34</v>
      </c>
      <c r="B14" s="6">
        <v>1002</v>
      </c>
      <c r="C14" s="1">
        <v>45899</v>
      </c>
      <c r="D14" s="1">
        <v>45930</v>
      </c>
      <c r="E14" s="4" t="str" cm="1">
        <f t="array" ref="E14:I14">_xlfn.XLOOKUP(Gesamt!$A14,Geraete!A:A,Geraete!B:F,"not found",0,1)</f>
        <v>Tablet</v>
      </c>
      <c r="F14" t="str">
        <v>iPad</v>
      </c>
      <c r="G14" s="1">
        <v>45524</v>
      </c>
      <c r="H14" s="7">
        <v>1591.98</v>
      </c>
      <c r="I14" t="str">
        <v>Hamburg</v>
      </c>
      <c r="J14" t="str" cm="1">
        <f t="array" ref="J14:L14">_xlfn.XLOOKUP($B14,Mitarbeiter!A:A,Mitarbeiter!B:D,"not found",0,1)</f>
        <v>Eleni Hauffer</v>
      </c>
      <c r="K14" t="str">
        <v>IT</v>
      </c>
      <c r="L14" t="str">
        <v>Berlin</v>
      </c>
    </row>
    <row r="15" spans="1:12" hidden="1" x14ac:dyDescent="0.2">
      <c r="A15" t="s">
        <v>24</v>
      </c>
      <c r="B15" s="6">
        <v>1005</v>
      </c>
      <c r="C15" s="1">
        <v>45743</v>
      </c>
      <c r="D15" s="1">
        <v>45868</v>
      </c>
      <c r="E15" s="4" t="str" cm="1">
        <f t="array" ref="E15:I15">_xlfn.XLOOKUP(Gesamt!$A15,Geraete!A:A,Geraete!B:F,"not found",0,1)</f>
        <v>Monitor</v>
      </c>
      <c r="F15" t="str">
        <v>Dell UltraSharp</v>
      </c>
      <c r="G15" s="1">
        <v>44621</v>
      </c>
      <c r="H15" s="7">
        <v>750.91</v>
      </c>
      <c r="I15" t="str">
        <v>Berlin</v>
      </c>
      <c r="J15" t="str" cm="1">
        <f t="array" ref="J15:L15">_xlfn.XLOOKUP($B15,Mitarbeiter!A:A,Mitarbeiter!B:D,"not found",0,1)</f>
        <v>Alexandre Davids</v>
      </c>
      <c r="K15" t="str">
        <v>Vertrieb</v>
      </c>
      <c r="L15" t="str">
        <v>Berlin</v>
      </c>
    </row>
    <row r="16" spans="1:12" hidden="1" x14ac:dyDescent="0.2">
      <c r="A16" t="s">
        <v>41</v>
      </c>
      <c r="B16" s="6">
        <v>1005</v>
      </c>
      <c r="C16" s="1">
        <v>45675</v>
      </c>
      <c r="E16" s="4" t="str" cm="1">
        <f t="array" ref="E16:I16">_xlfn.XLOOKUP(Gesamt!$A16,Geraete!A:A,Geraete!B:F,"not found",0,1)</f>
        <v>Beamer</v>
      </c>
      <c r="F16" t="str">
        <v>Epson EB</v>
      </c>
      <c r="G16" s="1">
        <v>45266</v>
      </c>
      <c r="H16" s="7">
        <v>545.46</v>
      </c>
      <c r="I16" t="str">
        <v>Berlin</v>
      </c>
      <c r="J16" t="str" cm="1">
        <f t="array" ref="J16:L16">_xlfn.XLOOKUP($B16,Mitarbeiter!A:A,Mitarbeiter!B:D,"not found",0,1)</f>
        <v>Alexandre Davids</v>
      </c>
      <c r="K16" t="str">
        <v>Vertrieb</v>
      </c>
      <c r="L16" t="str">
        <v>Berlin</v>
      </c>
    </row>
    <row r="17" spans="1:12" hidden="1" x14ac:dyDescent="0.2">
      <c r="A17" t="s">
        <v>37</v>
      </c>
      <c r="B17" s="6">
        <v>1004</v>
      </c>
      <c r="C17" s="1">
        <v>45403</v>
      </c>
      <c r="D17" s="1">
        <v>45839</v>
      </c>
      <c r="E17" s="4" t="str" cm="1">
        <f t="array" ref="E17:I17">_xlfn.XLOOKUP(Gesamt!$A17,Geraete!A:A,Geraete!B:F,"not found",0,1)</f>
        <v>Monitor</v>
      </c>
      <c r="F17" t="str">
        <v>Samsung Curved</v>
      </c>
      <c r="G17" s="1">
        <v>44766</v>
      </c>
      <c r="H17" s="7">
        <v>501.64</v>
      </c>
      <c r="I17" t="str">
        <v>München</v>
      </c>
      <c r="J17" t="str" cm="1">
        <f t="array" ref="J17:L17">_xlfn.XLOOKUP($B17,Mitarbeiter!A:A,Mitarbeiter!B:D,"not found",0,1)</f>
        <v>Klemens Löffler</v>
      </c>
      <c r="K17" t="str">
        <v>Vertrieb</v>
      </c>
      <c r="L17" t="str">
        <v>Hamburg</v>
      </c>
    </row>
    <row r="18" spans="1:12" hidden="1" x14ac:dyDescent="0.2">
      <c r="A18" t="s">
        <v>30</v>
      </c>
      <c r="B18" s="6">
        <v>1004</v>
      </c>
      <c r="C18" s="1">
        <v>45523</v>
      </c>
      <c r="E18" s="4" t="str" cm="1">
        <f t="array" ref="E18:I18">_xlfn.XLOOKUP(Gesamt!$A18,Geraete!A:A,Geraete!B:F,"not found",0,1)</f>
        <v>Beamer</v>
      </c>
      <c r="F18" t="str">
        <v>Epson EB</v>
      </c>
      <c r="G18" s="1">
        <v>44945</v>
      </c>
      <c r="H18" s="7">
        <v>1246.58</v>
      </c>
      <c r="I18" t="str">
        <v>Hamburg</v>
      </c>
      <c r="J18" t="str" cm="1">
        <f t="array" ref="J18:L18">_xlfn.XLOOKUP($B18,Mitarbeiter!A:A,Mitarbeiter!B:D,"not found",0,1)</f>
        <v>Klemens Löffler</v>
      </c>
      <c r="K18" t="str">
        <v>Vertrieb</v>
      </c>
      <c r="L18" t="str">
        <v>Hamburg</v>
      </c>
    </row>
    <row r="19" spans="1:12" x14ac:dyDescent="0.2">
      <c r="A19" t="s">
        <v>32</v>
      </c>
      <c r="B19" s="6">
        <v>1002</v>
      </c>
      <c r="C19" s="1">
        <v>45921</v>
      </c>
      <c r="D19" s="1">
        <v>45934</v>
      </c>
      <c r="E19" s="4" t="str" cm="1">
        <f t="array" ref="E19:I19">_xlfn.XLOOKUP(Gesamt!$A19,Geraete!A:A,Geraete!B:F,"not found",0,1)</f>
        <v>Laptop</v>
      </c>
      <c r="F19" t="str">
        <v>Lenovo ThinkPad</v>
      </c>
      <c r="G19" s="1">
        <v>44337</v>
      </c>
      <c r="H19" s="7">
        <v>1553.15</v>
      </c>
      <c r="I19" t="str">
        <v>Hamburg</v>
      </c>
      <c r="J19" t="str" cm="1">
        <f t="array" ref="J19:L19">_xlfn.XLOOKUP($B19,Mitarbeiter!A:A,Mitarbeiter!B:D,"not found",0,1)</f>
        <v>Eleni Hauffer</v>
      </c>
      <c r="K19" t="str">
        <v>IT</v>
      </c>
      <c r="L19" t="str">
        <v>Berlin</v>
      </c>
    </row>
    <row r="20" spans="1:12" hidden="1" x14ac:dyDescent="0.2">
      <c r="A20" t="s">
        <v>38</v>
      </c>
      <c r="B20" s="6">
        <v>1012</v>
      </c>
      <c r="C20" s="1">
        <v>45792</v>
      </c>
      <c r="D20" s="1">
        <v>45905</v>
      </c>
      <c r="E20" s="4" t="str" cm="1">
        <f t="array" ref="E20:I20">_xlfn.XLOOKUP(Gesamt!$A20,Geraete!A:A,Geraete!B:F,"not found",0,1)</f>
        <v>Beamer</v>
      </c>
      <c r="F20" t="str">
        <v>Epson EB</v>
      </c>
      <c r="G20" s="1">
        <v>44647</v>
      </c>
      <c r="H20" s="7">
        <v>1629.76</v>
      </c>
      <c r="I20" t="str">
        <v>München</v>
      </c>
      <c r="J20" t="str" cm="1">
        <f t="array" ref="J20:L20">_xlfn.XLOOKUP($B20,Mitarbeiter!A:A,Mitarbeiter!B:D,"not found",0,1)</f>
        <v>Ariane Klemt-Kaul</v>
      </c>
      <c r="K20" t="str">
        <v>IT</v>
      </c>
      <c r="L20" t="str">
        <v>München</v>
      </c>
    </row>
    <row r="21" spans="1:12" x14ac:dyDescent="0.2">
      <c r="A21" t="s">
        <v>36</v>
      </c>
      <c r="B21" s="6">
        <v>1004</v>
      </c>
      <c r="C21" s="1">
        <v>45320</v>
      </c>
      <c r="E21" s="4" t="str" cm="1">
        <f t="array" ref="E21:I21">_xlfn.XLOOKUP(Gesamt!$A21,Geraete!A:A,Geraete!B:F,"not found",0,1)</f>
        <v>Laptop</v>
      </c>
      <c r="F21" t="str">
        <v>HP EliteBook</v>
      </c>
      <c r="G21" s="1">
        <v>45775</v>
      </c>
      <c r="H21" s="7">
        <v>1095.6199999999999</v>
      </c>
      <c r="I21" t="str">
        <v>München</v>
      </c>
      <c r="J21" t="str" cm="1">
        <f t="array" ref="J21:L21">_xlfn.XLOOKUP($B21,Mitarbeiter!A:A,Mitarbeiter!B:D,"not found",0,1)</f>
        <v>Klemens Löffler</v>
      </c>
      <c r="K21" t="str">
        <v>Vertrieb</v>
      </c>
      <c r="L21" t="str">
        <v>Hamburg</v>
      </c>
    </row>
    <row r="22" spans="1:12" x14ac:dyDescent="0.2">
      <c r="A22" t="s">
        <v>42</v>
      </c>
      <c r="B22" s="6">
        <v>1003</v>
      </c>
      <c r="C22" s="1">
        <v>45508</v>
      </c>
      <c r="D22" s="1">
        <v>45871</v>
      </c>
      <c r="E22" s="4" t="str" cm="1">
        <f t="array" ref="E22:I22">_xlfn.XLOOKUP(Gesamt!$A22,Geraete!A:A,Geraete!B:F,"not found",0,1)</f>
        <v>Laptop</v>
      </c>
      <c r="F22" t="str">
        <v>Lenovo ThinkPad</v>
      </c>
      <c r="G22" s="1">
        <v>44876</v>
      </c>
      <c r="H22" s="7">
        <v>1801.36</v>
      </c>
      <c r="I22" t="str">
        <v>München</v>
      </c>
      <c r="J22" t="str" cm="1">
        <f t="array" ref="J22:L22">_xlfn.XLOOKUP($B22,Mitarbeiter!A:A,Mitarbeiter!B:D,"not found",0,1)</f>
        <v>Paul Dobes-Stiffel</v>
      </c>
      <c r="K22" t="str">
        <v>Produktion</v>
      </c>
      <c r="L22" t="str">
        <v>Hamburg</v>
      </c>
    </row>
    <row r="23" spans="1:12" hidden="1" x14ac:dyDescent="0.2">
      <c r="A23" t="s">
        <v>44</v>
      </c>
      <c r="B23" s="6">
        <v>1009</v>
      </c>
      <c r="C23" s="1">
        <v>45740</v>
      </c>
      <c r="D23" s="1">
        <v>45784</v>
      </c>
      <c r="E23" s="4" t="str" cm="1">
        <f t="array" ref="E23:I23">_xlfn.XLOOKUP(Gesamt!$A23,Geraete!A:A,Geraete!B:F,"not found",0,1)</f>
        <v>Beamer</v>
      </c>
      <c r="F23" t="str">
        <v>BenQ MW550</v>
      </c>
      <c r="G23" s="1">
        <v>44623</v>
      </c>
      <c r="H23" s="7">
        <v>1212.29</v>
      </c>
      <c r="I23" t="str">
        <v>Berlin</v>
      </c>
      <c r="J23" t="str" cm="1">
        <f t="array" ref="J23:L23">_xlfn.XLOOKUP($B23,Mitarbeiter!A:A,Mitarbeiter!B:D,"not found",0,1)</f>
        <v>Univ.Prof. Heimo Karge</v>
      </c>
      <c r="K23" t="str">
        <v>Marketing</v>
      </c>
      <c r="L23" t="str">
        <v>Hamburg</v>
      </c>
    </row>
    <row r="24" spans="1:12" hidden="1" x14ac:dyDescent="0.2">
      <c r="A24" t="s">
        <v>22</v>
      </c>
      <c r="B24" s="6">
        <v>1009</v>
      </c>
      <c r="C24" s="1">
        <v>45421</v>
      </c>
      <c r="E24" s="4" t="str" cm="1">
        <f t="array" ref="E24:I24">_xlfn.XLOOKUP(Gesamt!$A24,Geraete!A:A,Geraete!B:F,"not found",0,1)</f>
        <v>Beamer</v>
      </c>
      <c r="F24" t="str">
        <v>BenQ MW550</v>
      </c>
      <c r="G24" s="1">
        <v>45294</v>
      </c>
      <c r="H24" s="7">
        <v>644.54</v>
      </c>
      <c r="I24" t="str">
        <v>Berlin</v>
      </c>
      <c r="J24" t="str" cm="1">
        <f t="array" ref="J24:L24">_xlfn.XLOOKUP($B24,Mitarbeiter!A:A,Mitarbeiter!B:D,"not found",0,1)</f>
        <v>Univ.Prof. Heimo Karge</v>
      </c>
      <c r="K24" t="str">
        <v>Marketing</v>
      </c>
      <c r="L24" t="str">
        <v>Hamburg</v>
      </c>
    </row>
  </sheetData>
  <autoFilter ref="A1:L24" xr:uid="{9364503E-A7E7-7143-80A2-76D011025730}">
    <filterColumn colId="4">
      <filters>
        <filter val="Laptop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E6E4B-D197-8541-83CF-AC0CF327A2AD}">
  <dimension ref="A3:E11"/>
  <sheetViews>
    <sheetView zoomScale="116" workbookViewId="0">
      <selection activeCell="E25" sqref="E25"/>
    </sheetView>
  </sheetViews>
  <sheetFormatPr baseColWidth="10" defaultRowHeight="16" x14ac:dyDescent="0.2"/>
  <cols>
    <col min="1" max="1" width="15.1640625" bestFit="1" customWidth="1"/>
    <col min="2" max="2" width="16" bestFit="1" customWidth="1"/>
    <col min="3" max="4" width="8.83203125" bestFit="1" customWidth="1"/>
    <col min="5" max="5" width="10.5" bestFit="1" customWidth="1"/>
  </cols>
  <sheetData>
    <row r="3" spans="1:5" x14ac:dyDescent="0.2">
      <c r="A3" s="8" t="s">
        <v>91</v>
      </c>
      <c r="B3" s="8" t="s">
        <v>92</v>
      </c>
    </row>
    <row r="4" spans="1:5" x14ac:dyDescent="0.2">
      <c r="A4" s="8" t="s">
        <v>85</v>
      </c>
      <c r="B4" t="s">
        <v>6</v>
      </c>
      <c r="C4" t="s">
        <v>10</v>
      </c>
      <c r="D4" t="s">
        <v>82</v>
      </c>
      <c r="E4" t="s">
        <v>88</v>
      </c>
    </row>
    <row r="5" spans="1:5" x14ac:dyDescent="0.2">
      <c r="A5" s="9" t="s">
        <v>63</v>
      </c>
      <c r="B5" s="3">
        <v>7</v>
      </c>
      <c r="C5" s="3">
        <v>3</v>
      </c>
      <c r="D5" s="3">
        <v>2</v>
      </c>
      <c r="E5" s="3">
        <v>12</v>
      </c>
    </row>
    <row r="6" spans="1:5" x14ac:dyDescent="0.2">
      <c r="A6" s="9" t="s">
        <v>57</v>
      </c>
      <c r="B6" s="3">
        <v>9</v>
      </c>
      <c r="C6" s="3">
        <v>2</v>
      </c>
      <c r="D6" s="3">
        <v>1</v>
      </c>
      <c r="E6" s="3">
        <v>12</v>
      </c>
    </row>
    <row r="7" spans="1:5" x14ac:dyDescent="0.2">
      <c r="A7" s="9" t="s">
        <v>55</v>
      </c>
      <c r="B7" s="3"/>
      <c r="C7" s="3">
        <v>4</v>
      </c>
      <c r="D7" s="3">
        <v>6</v>
      </c>
      <c r="E7" s="3">
        <v>10</v>
      </c>
    </row>
    <row r="8" spans="1:5" x14ac:dyDescent="0.2">
      <c r="A8" s="9" t="s">
        <v>73</v>
      </c>
      <c r="B8" s="3">
        <v>2</v>
      </c>
      <c r="C8" s="3"/>
      <c r="D8" s="3">
        <v>2</v>
      </c>
      <c r="E8" s="3">
        <v>4</v>
      </c>
    </row>
    <row r="9" spans="1:5" x14ac:dyDescent="0.2">
      <c r="A9" s="9" t="s">
        <v>59</v>
      </c>
      <c r="B9" s="3"/>
      <c r="C9" s="3"/>
      <c r="D9" s="3">
        <v>4</v>
      </c>
      <c r="E9" s="3">
        <v>4</v>
      </c>
    </row>
    <row r="10" spans="1:5" x14ac:dyDescent="0.2">
      <c r="A10" s="9" t="s">
        <v>49</v>
      </c>
      <c r="B10" s="3"/>
      <c r="C10" s="3">
        <v>2</v>
      </c>
      <c r="D10" s="3">
        <v>1</v>
      </c>
      <c r="E10" s="3">
        <v>3</v>
      </c>
    </row>
    <row r="11" spans="1:5" x14ac:dyDescent="0.2">
      <c r="A11" s="9" t="s">
        <v>88</v>
      </c>
      <c r="B11" s="3">
        <v>18</v>
      </c>
      <c r="C11" s="3">
        <v>11</v>
      </c>
      <c r="D11" s="3">
        <v>16</v>
      </c>
      <c r="E11" s="3">
        <v>45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Mitarbeiter</vt:lpstr>
      <vt:lpstr>Ausleihen</vt:lpstr>
      <vt:lpstr>Geraete</vt:lpstr>
      <vt:lpstr>GesamtMitDuplikaten</vt:lpstr>
      <vt:lpstr>Gesamt</vt:lpstr>
      <vt:lpstr>Aufgabe D1</vt:lpstr>
      <vt:lpstr>Aufgabe D2</vt:lpstr>
      <vt:lpstr>Aufgabe D3+4</vt:lpstr>
      <vt:lpstr>Ausleihen!Ausleihen</vt:lpstr>
      <vt:lpstr>Gesamt!Ausleihen</vt:lpstr>
      <vt:lpstr>GesamtMitDuplikaten!Ausleihen</vt:lpstr>
      <vt:lpstr>Geraete!Geraete</vt:lpstr>
      <vt:lpstr>Mitarbeiter!Mitarbeiter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Bauer</dc:creator>
  <cp:lastModifiedBy>Simone Bauer</cp:lastModifiedBy>
  <dcterms:created xsi:type="dcterms:W3CDTF">2026-03-21T12:20:41Z</dcterms:created>
  <dcterms:modified xsi:type="dcterms:W3CDTF">2026-03-21T14:11:13Z</dcterms:modified>
</cp:coreProperties>
</file>